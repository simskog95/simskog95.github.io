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B682BB5-2444-484F-B616-1A48BA6BEF37}" xr6:coauthVersionLast="47" xr6:coauthVersionMax="47" xr10:uidLastSave="{00000000-0000-0000-0000-000000000000}"/>
  <bookViews>
    <workbookView xWindow="408" yWindow="12" windowWidth="29652" windowHeight="16284" xr2:uid="{00000000-000D-0000-FFFF-FFFF00000000}"/>
  </bookViews>
  <sheets>
    <sheet name="Blad1" sheetId="1" r:id="rId1"/>
  </sheets>
  <definedNames>
    <definedName name="_xlnm._FilterDatabase" localSheetId="0" hidden="1">Blad1!$A$1:$AH$695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</calcChain>
</file>

<file path=xl/sharedStrings.xml><?xml version="1.0" encoding="utf-8"?>
<sst xmlns="http://schemas.openxmlformats.org/spreadsheetml/2006/main" count="11755" uniqueCount="2413">
  <si>
    <t>Artikelnummer</t>
  </si>
  <si>
    <t>Nedsatt % (fr igår)</t>
  </si>
  <si>
    <t>Nytt pris</t>
  </si>
  <si>
    <t>Gammalt pris</t>
  </si>
  <si>
    <t>Slut</t>
  </si>
  <si>
    <t>Kollikrav (antal)</t>
  </si>
  <si>
    <t>Namn</t>
  </si>
  <si>
    <t>Namn 2</t>
  </si>
  <si>
    <t>Url</t>
  </si>
  <si>
    <t>Nedsatt % (9mån)</t>
  </si>
  <si>
    <t>Nedsatt % (1mån)</t>
  </si>
  <si>
    <t>FörstaHistorikFörekomstDatum</t>
  </si>
  <si>
    <t>Prishistorik</t>
  </si>
  <si>
    <t>Apk</t>
  </si>
  <si>
    <t>Volym i ml</t>
  </si>
  <si>
    <t>Alkoholhalt i %</t>
  </si>
  <si>
    <t>Varugrupp, nivå 1</t>
  </si>
  <si>
    <t>Varugrupp, nivå 2</t>
  </si>
  <si>
    <t>Varugrupp, nivå 3</t>
  </si>
  <si>
    <t>Varugrupp, nivå 4</t>
  </si>
  <si>
    <t>Land</t>
  </si>
  <si>
    <t>Ursprung, nivå 1</t>
  </si>
  <si>
    <t>Ursprung, nivå 2</t>
  </si>
  <si>
    <t>Producent</t>
  </si>
  <si>
    <t>Leverantör</t>
  </si>
  <si>
    <t>Ekologisk</t>
  </si>
  <si>
    <t>Årgång</t>
  </si>
  <si>
    <t>Förpackning</t>
  </si>
  <si>
    <t>Sortiment</t>
  </si>
  <si>
    <t>Regional vara</t>
  </si>
  <si>
    <t>Nyhet</t>
  </si>
  <si>
    <t>Sockerinnehåll (g/lit)</t>
  </si>
  <si>
    <t>Etisk</t>
  </si>
  <si>
    <t>Säljstartdatum</t>
  </si>
  <si>
    <t>Ja (helt)</t>
  </si>
  <si>
    <t>Individo</t>
  </si>
  <si>
    <t>Traminer Sauvignon Blanc</t>
  </si>
  <si>
    <t>36; 146; 145</t>
  </si>
  <si>
    <t>Vin</t>
  </si>
  <si>
    <t>Vitt vin</t>
  </si>
  <si>
    <t>Moldavien</t>
  </si>
  <si>
    <t>Chateau Vartely</t>
  </si>
  <si>
    <t>Velvet Grapes AB</t>
  </si>
  <si>
    <t>Nej</t>
  </si>
  <si>
    <t>Flaska</t>
  </si>
  <si>
    <t>Ordervaror</t>
  </si>
  <si>
    <t>Ja</t>
  </si>
  <si>
    <t>Feteasca Regala Riesling</t>
  </si>
  <si>
    <t>Pinot Gris Chardonnay</t>
  </si>
  <si>
    <t>Medici Ermete</t>
  </si>
  <si>
    <t>Phermento Lambrusco di Sorbara Secco</t>
  </si>
  <si>
    <t>89; 229; 199</t>
  </si>
  <si>
    <t>Rött vin</t>
  </si>
  <si>
    <t>Italien</t>
  </si>
  <si>
    <t>Emilia-Romagna</t>
  </si>
  <si>
    <t>Lambrusco di Sorbara</t>
  </si>
  <si>
    <t>Medici Ermete &amp; Figli</t>
  </si>
  <si>
    <t>Quaffable Wines Sweden AB</t>
  </si>
  <si>
    <t>Pet-Nat Rosé</t>
  </si>
  <si>
    <t>Fattoria Sardi</t>
  </si>
  <si>
    <t>99; 249</t>
  </si>
  <si>
    <t>Mousserande vin</t>
  </si>
  <si>
    <t>Rosé</t>
  </si>
  <si>
    <t>Toscana</t>
  </si>
  <si>
    <t>Vinonista AB</t>
  </si>
  <si>
    <t>Selezione de Piera</t>
  </si>
  <si>
    <t>Onedis Ribolla Gialla Spumante Brut</t>
  </si>
  <si>
    <t>89; 219; 199</t>
  </si>
  <si>
    <t>Torrt vitt</t>
  </si>
  <si>
    <t>Gruppo Martellozzo</t>
  </si>
  <si>
    <t>Slightly Pinot Noir</t>
  </si>
  <si>
    <t>49; 119</t>
  </si>
  <si>
    <t>Mjukt &amp; Bärigt</t>
  </si>
  <si>
    <t>USA</t>
  </si>
  <si>
    <t>Kalifornien</t>
  </si>
  <si>
    <t>Scheid Family Wines</t>
  </si>
  <si>
    <t>Morningstar Brands AB</t>
  </si>
  <si>
    <t>Lättare glasflaska</t>
  </si>
  <si>
    <t>Toscana Rosé</t>
  </si>
  <si>
    <t>99; 219; 199</t>
  </si>
  <si>
    <t>Rosévin</t>
  </si>
  <si>
    <t>Caminante de los Mundos</t>
  </si>
  <si>
    <t>Malbec</t>
  </si>
  <si>
    <t>59; 129</t>
  </si>
  <si>
    <t>Fruktigt &amp; Smakrikt</t>
  </si>
  <si>
    <t>Argentina</t>
  </si>
  <si>
    <t>Cuyo</t>
  </si>
  <si>
    <t>Mendoza</t>
  </si>
  <si>
    <t>Jasmine Monet</t>
  </si>
  <si>
    <t>WineWorld AB</t>
  </si>
  <si>
    <t>Fast sortiment</t>
  </si>
  <si>
    <t>Pico Maccario</t>
  </si>
  <si>
    <t>Dolcevita Moscato d'Asti</t>
  </si>
  <si>
    <t>69; 139; 129</t>
  </si>
  <si>
    <t>Sött</t>
  </si>
  <si>
    <t>Piemonte</t>
  </si>
  <si>
    <t>Moscato d'Asti</t>
  </si>
  <si>
    <t>Winestock Sweden AB</t>
  </si>
  <si>
    <t>Vacheron</t>
  </si>
  <si>
    <t>Sancerre Rosé</t>
  </si>
  <si>
    <t>169; 339</t>
  </si>
  <si>
    <t>Frankrike</t>
  </si>
  <si>
    <t>Domaine Vacheron</t>
  </si>
  <si>
    <t>The WineAgency Sweden AB</t>
  </si>
  <si>
    <t>Good Guys Brew</t>
  </si>
  <si>
    <t>Hopmonster 2.0</t>
  </si>
  <si>
    <t>21,30; 40; 39,90</t>
  </si>
  <si>
    <t>Öl</t>
  </si>
  <si>
    <t>Ale</t>
  </si>
  <si>
    <t>New England IPA/Hazy IPA</t>
  </si>
  <si>
    <t>Sverige</t>
  </si>
  <si>
    <t>Värmlands län</t>
  </si>
  <si>
    <t>Karlstads kommun</t>
  </si>
  <si>
    <t>Good Guys Brew AB</t>
  </si>
  <si>
    <t>Burk</t>
  </si>
  <si>
    <t>Lokalt &amp; Småskaligt</t>
  </si>
  <si>
    <t>Hans Baer</t>
  </si>
  <si>
    <t>Riesling Sekt</t>
  </si>
  <si>
    <t>59; 109</t>
  </si>
  <si>
    <t>Tyskland</t>
  </si>
  <si>
    <t>Weinkellerei Hechtsheim</t>
  </si>
  <si>
    <t>Enjoy Wine &amp; Spirits AB</t>
  </si>
  <si>
    <t>Zin Zap</t>
  </si>
  <si>
    <t>Barista Rosso Prima Selezione</t>
  </si>
  <si>
    <t>59; 109; 129</t>
  </si>
  <si>
    <t>Ink Brandz LLC</t>
  </si>
  <si>
    <t>Rubic Beverages AB</t>
  </si>
  <si>
    <t>Munferié</t>
  </si>
  <si>
    <t>Vino Rosato</t>
  </si>
  <si>
    <t>99; 179; 189</t>
  </si>
  <si>
    <t>Viotti</t>
  </si>
  <si>
    <t>Ringu Brewing</t>
  </si>
  <si>
    <t>Pils</t>
  </si>
  <si>
    <t>10; 17,90; 19,90</t>
  </si>
  <si>
    <t>Ljus lager</t>
  </si>
  <si>
    <t>Pilsner - tysk stil</t>
  </si>
  <si>
    <t>Västra Götalands län</t>
  </si>
  <si>
    <t>Göteborgs stad</t>
  </si>
  <si>
    <t>Ringu Brewing AB</t>
  </si>
  <si>
    <t>Blagny</t>
  </si>
  <si>
    <t>Sous le Puits</t>
  </si>
  <si>
    <t>399; 699</t>
  </si>
  <si>
    <t>Bourgogne</t>
  </si>
  <si>
    <t>Côte de Beaune</t>
  </si>
  <si>
    <t>Domaine Joseph Pascal</t>
  </si>
  <si>
    <t>Vintedge AB</t>
  </si>
  <si>
    <t>Heartland</t>
  </si>
  <si>
    <t>Shiraz</t>
  </si>
  <si>
    <t>99; 169; 119; 159</t>
  </si>
  <si>
    <t>Australien</t>
  </si>
  <si>
    <t>South Australia</t>
  </si>
  <si>
    <t>Limestone Coast</t>
  </si>
  <si>
    <t>Heartland Wines</t>
  </si>
  <si>
    <t>Solera Sweden AB</t>
  </si>
  <si>
    <t>Tr3 Apor</t>
  </si>
  <si>
    <t>Äppelcider Ekologisk</t>
  </si>
  <si>
    <t>9,90; 16,90</t>
  </si>
  <si>
    <t>Cider &amp; blanddrycker</t>
  </si>
  <si>
    <t>Cider</t>
  </si>
  <si>
    <t>Söt</t>
  </si>
  <si>
    <t>My Pleasure in Sweden AB</t>
  </si>
  <si>
    <t>Matilda Nieves</t>
  </si>
  <si>
    <t>Mencía</t>
  </si>
  <si>
    <t>59; 99; 129; 149</t>
  </si>
  <si>
    <t>Spanien</t>
  </si>
  <si>
    <t>Galicien</t>
  </si>
  <si>
    <t>Ribeira Sacra</t>
  </si>
  <si>
    <t>Bodegas Rectoral de Amandi S.A.U.</t>
  </si>
  <si>
    <t>Euphoria</t>
  </si>
  <si>
    <t>59; 99; 119</t>
  </si>
  <si>
    <t>Friskt &amp; Bärigt</t>
  </si>
  <si>
    <t>Grekland</t>
  </si>
  <si>
    <t>Makedonien</t>
  </si>
  <si>
    <t>Florina</t>
  </si>
  <si>
    <t>Amyntas Winery</t>
  </si>
  <si>
    <t>Carovin AB</t>
  </si>
  <si>
    <t>Cocoon</t>
  </si>
  <si>
    <t>Zinfandel</t>
  </si>
  <si>
    <t>59; 99</t>
  </si>
  <si>
    <t>Oenoforos</t>
  </si>
  <si>
    <t>Oenoforos AB</t>
  </si>
  <si>
    <t>PET-flaska</t>
  </si>
  <si>
    <t>Grande Nuit</t>
  </si>
  <si>
    <t>Sauvignon Blanc</t>
  </si>
  <si>
    <t>Friskt &amp; Fruktigt</t>
  </si>
  <si>
    <t>Languedoc-Roussillon</t>
  </si>
  <si>
    <t>VdP d'Oc</t>
  </si>
  <si>
    <t>Maison Fortant</t>
  </si>
  <si>
    <t>Giertz Vinimport AB</t>
  </si>
  <si>
    <t>Cune Monopole</t>
  </si>
  <si>
    <t>Blanco Seco</t>
  </si>
  <si>
    <t>89; 149; 139; 129; 126</t>
  </si>
  <si>
    <t>Rioja</t>
  </si>
  <si>
    <t>Compañia Vinicola del Norte de España</t>
  </si>
  <si>
    <t>A Coroa</t>
  </si>
  <si>
    <t>Godello</t>
  </si>
  <si>
    <t>149; 249</t>
  </si>
  <si>
    <t>Valdeorras</t>
  </si>
  <si>
    <t>Adega A Coroa</t>
  </si>
  <si>
    <t>Castelmare</t>
  </si>
  <si>
    <t>Prosecco Diamond Edition Extra Dry</t>
  </si>
  <si>
    <t>79; 129; 109; 119</t>
  </si>
  <si>
    <t>Venetien</t>
  </si>
  <si>
    <t>Prosecco</t>
  </si>
  <si>
    <t>Poppels Bryggeri</t>
  </si>
  <si>
    <t>Seven Flowers Sour</t>
  </si>
  <si>
    <t>79,90; 129</t>
  </si>
  <si>
    <t>Syrlig öl</t>
  </si>
  <si>
    <t>Övrig syrlig öl</t>
  </si>
  <si>
    <t>Partille kommun</t>
  </si>
  <si>
    <t>Poppels Bryggeri AB</t>
  </si>
  <si>
    <t>Vikbo Cider</t>
  </si>
  <si>
    <t>Tropical Mango</t>
  </si>
  <si>
    <t>9,90; 15,90; 15,50</t>
  </si>
  <si>
    <t>Brewery International</t>
  </si>
  <si>
    <t>Brewery International Sweden AB</t>
  </si>
  <si>
    <t>Les Polissons</t>
  </si>
  <si>
    <t>99; 159; 169</t>
  </si>
  <si>
    <t>SAS Benoit Aymard</t>
  </si>
  <si>
    <t>Nigab</t>
  </si>
  <si>
    <t>Cave de Turckheim</t>
  </si>
  <si>
    <t>Riesling</t>
  </si>
  <si>
    <t>99; 159</t>
  </si>
  <si>
    <t>Alsace</t>
  </si>
  <si>
    <t>Le Haut de la Butte</t>
  </si>
  <si>
    <t>Domaine de la Taille aux Loups</t>
  </si>
  <si>
    <t>249; 399</t>
  </si>
  <si>
    <t>Loiredalen</t>
  </si>
  <si>
    <t>Touraine</t>
  </si>
  <si>
    <t>Bretonniere</t>
  </si>
  <si>
    <t>Yoga</t>
  </si>
  <si>
    <t>Merlot Cabernet Sauvignon Petite Sirah</t>
  </si>
  <si>
    <t>59; 94</t>
  </si>
  <si>
    <t>Bear Creek Winery</t>
  </si>
  <si>
    <t>Killer Red</t>
  </si>
  <si>
    <t>Merlot</t>
  </si>
  <si>
    <t>119; 189; 187</t>
  </si>
  <si>
    <t>Washington State</t>
  </si>
  <si>
    <t>Columbia Valley</t>
  </si>
  <si>
    <t>Concealed Wines AB</t>
  </si>
  <si>
    <t>Charro</t>
  </si>
  <si>
    <t>Mexican Pilsner</t>
  </si>
  <si>
    <t>17,90; 27,90; 25,90</t>
  </si>
  <si>
    <t>Internationell stil</t>
  </si>
  <si>
    <t>Mexiko</t>
  </si>
  <si>
    <t>CHARRO BREWING COMPANY SAPI DE CV</t>
  </si>
  <si>
    <t>Mexican Ambar</t>
  </si>
  <si>
    <t>Mellanmörk &amp; Mörk lager</t>
  </si>
  <si>
    <t>Märzen och wienerstil</t>
  </si>
  <si>
    <t>Clockwork</t>
  </si>
  <si>
    <t>Tangerine Session IPA</t>
  </si>
  <si>
    <t>10,90; 16,90; 17,90; 16,90</t>
  </si>
  <si>
    <t>Session IPA</t>
  </si>
  <si>
    <t>Storbritannien</t>
  </si>
  <si>
    <t>Skottland</t>
  </si>
  <si>
    <t>BrewDog</t>
  </si>
  <si>
    <t>Moestue &amp; Cask AB</t>
  </si>
  <si>
    <t>Bio Riesling</t>
  </si>
  <si>
    <t>64; 99; 104; 101</t>
  </si>
  <si>
    <t>Halvtorrt vitt</t>
  </si>
  <si>
    <t>United Drinks Europe BV</t>
  </si>
  <si>
    <t>Stellan Kramer AB</t>
  </si>
  <si>
    <t>Reciotto della Valpolicella</t>
  </si>
  <si>
    <t>La Roggia</t>
  </si>
  <si>
    <t>369; 569</t>
  </si>
  <si>
    <t>Valpolicella</t>
  </si>
  <si>
    <t>SPERI Viticoltori S.S.</t>
  </si>
  <si>
    <t>Atomic Splash</t>
  </si>
  <si>
    <t>21,50; 33</t>
  </si>
  <si>
    <t>Fita Azul</t>
  </si>
  <si>
    <t>Passion Rosé Bruto</t>
  </si>
  <si>
    <t>99; 150; 149</t>
  </si>
  <si>
    <t>Portugal</t>
  </si>
  <si>
    <t>Vinhos Borges</t>
  </si>
  <si>
    <t>My Wine Estate Nordic AB</t>
  </si>
  <si>
    <t>Laroche</t>
  </si>
  <si>
    <t>Le Petit Chardonnay</t>
  </si>
  <si>
    <t>59; 89</t>
  </si>
  <si>
    <t>Pays d'Oc</t>
  </si>
  <si>
    <t>Cabernet Sauvignon Grand Nuit</t>
  </si>
  <si>
    <t>Tesoro</t>
  </si>
  <si>
    <t>Chardonnay</t>
  </si>
  <si>
    <t>79; 119</t>
  </si>
  <si>
    <t>Fylligt &amp; Smakrikt</t>
  </si>
  <si>
    <t>Bodegas Trapiche</t>
  </si>
  <si>
    <t>Spendrups Bryggeri AB</t>
  </si>
  <si>
    <t>Boschendal</t>
  </si>
  <si>
    <t>1685 Chardonnay</t>
  </si>
  <si>
    <t>99; 149</t>
  </si>
  <si>
    <t>Sydafrika</t>
  </si>
  <si>
    <t>Western Cape</t>
  </si>
  <si>
    <t>Coastal Region</t>
  </si>
  <si>
    <t>Boschendal Estate</t>
  </si>
  <si>
    <t>Michael Björklund</t>
  </si>
  <si>
    <t>Grüner Veltliner</t>
  </si>
  <si>
    <t>Österrike</t>
  </si>
  <si>
    <t>Niederösterreich</t>
  </si>
  <si>
    <t>Wagram</t>
  </si>
  <si>
    <t>Domaine Wines</t>
  </si>
  <si>
    <t>Domaine Wines Sweden AB</t>
  </si>
  <si>
    <t>Laetitia Estate</t>
  </si>
  <si>
    <t>199; 299; 285</t>
  </si>
  <si>
    <t>Central Coast</t>
  </si>
  <si>
    <t>Laetitia Winery</t>
  </si>
  <si>
    <t>Terrific Wines AB</t>
  </si>
  <si>
    <t>Midleton Irish Whiskey</t>
  </si>
  <si>
    <t>Single Pot Still Discovery pack</t>
  </si>
  <si>
    <t>299; 449</t>
  </si>
  <si>
    <t>Sprit</t>
  </si>
  <si>
    <t>Whisky</t>
  </si>
  <si>
    <t>Annan whisky</t>
  </si>
  <si>
    <t>Irland</t>
  </si>
  <si>
    <t>Irish Distillers</t>
  </si>
  <si>
    <t>Pernod Ricard Sweden AB</t>
  </si>
  <si>
    <t>4 flaskor à 50ml</t>
  </si>
  <si>
    <t>Glengoyne</t>
  </si>
  <si>
    <t>White Oak</t>
  </si>
  <si>
    <t>499; 747; 746</t>
  </si>
  <si>
    <t>Maltwhisky</t>
  </si>
  <si>
    <t>Ian Macleod</t>
  </si>
  <si>
    <t>Ölandsbränneri</t>
  </si>
  <si>
    <t>Fåken Standard Vodka</t>
  </si>
  <si>
    <t>199; 297; 287; 286</t>
  </si>
  <si>
    <t>Vodka &amp; Okryddat brännvin</t>
  </si>
  <si>
    <t>Vodka</t>
  </si>
  <si>
    <t>Kalmar län</t>
  </si>
  <si>
    <t>Borgholms kommun</t>
  </si>
  <si>
    <t>Ölandsbränneri AB</t>
  </si>
  <si>
    <t>Villa Madeleine</t>
  </si>
  <si>
    <t>Coteaux d’Aix-en-Provence</t>
  </si>
  <si>
    <t>109; 159; 149</t>
  </si>
  <si>
    <t>Provence</t>
  </si>
  <si>
    <t>Coteaux d'Aix-en-Provence</t>
  </si>
  <si>
    <t>Hecht &amp; Bannier</t>
  </si>
  <si>
    <t>The Wine Team Global AB</t>
  </si>
  <si>
    <t>Quinta de la Rosa</t>
  </si>
  <si>
    <t>LBV</t>
  </si>
  <si>
    <t>199; 290; 289</t>
  </si>
  <si>
    <t>Starkvin</t>
  </si>
  <si>
    <t>Portvin</t>
  </si>
  <si>
    <t>Annat rött portvin</t>
  </si>
  <si>
    <t>Douro</t>
  </si>
  <si>
    <t>Porto</t>
  </si>
  <si>
    <t>Lanson</t>
  </si>
  <si>
    <t>Le Black Création</t>
  </si>
  <si>
    <t>199; 289; 259; 199</t>
  </si>
  <si>
    <t>Champagne</t>
  </si>
  <si>
    <t>Toasty Barrel</t>
  </si>
  <si>
    <t>Pinot Noir</t>
  </si>
  <si>
    <t>89; 129</t>
  </si>
  <si>
    <t>Arc-en-Ciel</t>
  </si>
  <si>
    <t>Blanc</t>
  </si>
  <si>
    <t>69; 99</t>
  </si>
  <si>
    <t>Providential Wines &amp; Spirits AB</t>
  </si>
  <si>
    <t>Three Finger Jack</t>
  </si>
  <si>
    <t>69; 99; 119; 129; 149</t>
  </si>
  <si>
    <t>3 Finger Jack Cellars</t>
  </si>
  <si>
    <t>Ritmo Latino</t>
  </si>
  <si>
    <t>Brut</t>
  </si>
  <si>
    <t>69; 99; 115</t>
  </si>
  <si>
    <t>Chile</t>
  </si>
  <si>
    <t>Coquimbo</t>
  </si>
  <si>
    <t>Valle del Elqui</t>
  </si>
  <si>
    <t>Viña Tarapacá</t>
  </si>
  <si>
    <t>Bibendum AB</t>
  </si>
  <si>
    <t>Arrogant Bastard</t>
  </si>
  <si>
    <t>Whiskey</t>
  </si>
  <si>
    <t>349; 499; 599</t>
  </si>
  <si>
    <t>Stone Brewing Co</t>
  </si>
  <si>
    <t>Château Hosanna</t>
  </si>
  <si>
    <t>7000; 10000; 12263</t>
  </si>
  <si>
    <t>Bordeaux</t>
  </si>
  <si>
    <t>Pomerol</t>
  </si>
  <si>
    <t>Etabilssements Jean-Pierre Mouiex</t>
  </si>
  <si>
    <t>Hjo Grosshandel AB</t>
  </si>
  <si>
    <t>Magnum</t>
  </si>
  <si>
    <t>Svenskt äpple</t>
  </si>
  <si>
    <t>287; 408; 405; 492</t>
  </si>
  <si>
    <t>Likör</t>
  </si>
  <si>
    <t>Fruktlikör</t>
  </si>
  <si>
    <t>Stockholms län</t>
  </si>
  <si>
    <t>Nacka kommun</t>
  </si>
  <si>
    <t>AB Svenska Sprit TBH</t>
  </si>
  <si>
    <t>Greystone Wines</t>
  </si>
  <si>
    <t>Nor'wester Pinot Noir</t>
  </si>
  <si>
    <t>119; 169; 199</t>
  </si>
  <si>
    <t>Kryddigt &amp; Mustigt</t>
  </si>
  <si>
    <t>Nya Zeeland</t>
  </si>
  <si>
    <t>Canterbury</t>
  </si>
  <si>
    <t>North Canterbury</t>
  </si>
  <si>
    <t>Carib Beer</t>
  </si>
  <si>
    <t>22,90; 32,50; 27,10</t>
  </si>
  <si>
    <t>Trinidad och Tobago</t>
  </si>
  <si>
    <t>Carib Brewery</t>
  </si>
  <si>
    <t>Maurice Schueller</t>
  </si>
  <si>
    <t>Maurice Schueller Riesling Vielles Vignes</t>
  </si>
  <si>
    <t>191; 269</t>
  </si>
  <si>
    <t>VinTillMat i Väst AB</t>
  </si>
  <si>
    <t>1+1=3</t>
  </si>
  <si>
    <t>Merlot Cabernet Sauvignon Ecológico</t>
  </si>
  <si>
    <t>99; 139</t>
  </si>
  <si>
    <t>Katalonien</t>
  </si>
  <si>
    <t>Penedès</t>
  </si>
  <si>
    <t>1+1=3 U Mes U Fan Tres S.L.</t>
  </si>
  <si>
    <t>Chateau Ste Michelle</t>
  </si>
  <si>
    <t>Syrah</t>
  </si>
  <si>
    <t>129; 179; 169; 159</t>
  </si>
  <si>
    <t>Vinunic AB</t>
  </si>
  <si>
    <t>Frissons</t>
  </si>
  <si>
    <t>Bourgogne Chardonnay</t>
  </si>
  <si>
    <t>129; 179</t>
  </si>
  <si>
    <t>Domaine Alain Gautheron</t>
  </si>
  <si>
    <t>Condé</t>
  </si>
  <si>
    <t>129; 179; 169</t>
  </si>
  <si>
    <t>Forlì</t>
  </si>
  <si>
    <t>Chiara Condello</t>
  </si>
  <si>
    <t>Maple &amp; Ash</t>
  </si>
  <si>
    <t>79; 109</t>
  </si>
  <si>
    <t>Zephyr</t>
  </si>
  <si>
    <t>Pinot Gris</t>
  </si>
  <si>
    <t>79; 109; 120; 119</t>
  </si>
  <si>
    <t>Marlborough</t>
  </si>
  <si>
    <t>The Coterie</t>
  </si>
  <si>
    <t>Philipson Söderberg AB</t>
  </si>
  <si>
    <t>Brännland Iscider</t>
  </si>
  <si>
    <t>Apple Ice magnum</t>
  </si>
  <si>
    <t>549; 749</t>
  </si>
  <si>
    <t>Smaksatt vin &amp; fruktvin</t>
  </si>
  <si>
    <t>Sött fruktvin</t>
  </si>
  <si>
    <t>Wine Affair Scandinavia AB</t>
  </si>
  <si>
    <t>Carignane</t>
  </si>
  <si>
    <t>Little big block vineyard</t>
  </si>
  <si>
    <t>285; 385; 375</t>
  </si>
  <si>
    <t>Birichino</t>
  </si>
  <si>
    <t>Handpicked Wines Sweden AB</t>
  </si>
  <si>
    <t>Speri</t>
  </si>
  <si>
    <t>Amarone della Valpolicella Classico</t>
  </si>
  <si>
    <t>519; 699</t>
  </si>
  <si>
    <t>Crazy Cat</t>
  </si>
  <si>
    <t>Red Blend</t>
  </si>
  <si>
    <t>59; 79; 89</t>
  </si>
  <si>
    <t>Boland Vineyard International Pty Ltd</t>
  </si>
  <si>
    <t>Castelo dos Mouros</t>
  </si>
  <si>
    <t>Reserva</t>
  </si>
  <si>
    <t>59; 79; 99; 119</t>
  </si>
  <si>
    <t>Lisboa</t>
  </si>
  <si>
    <t>Bernardinos &amp; Carvalho</t>
  </si>
  <si>
    <t>Castelgufo</t>
  </si>
  <si>
    <t>Verdicchio dei Castelli di Jesi</t>
  </si>
  <si>
    <t>59; 79; 99</t>
  </si>
  <si>
    <t>Marche</t>
  </si>
  <si>
    <t>ViniMundi</t>
  </si>
  <si>
    <t>Silent Shade</t>
  </si>
  <si>
    <t>89; 119</t>
  </si>
  <si>
    <t>Spring Wine &amp; Spirits AB</t>
  </si>
  <si>
    <t>Wine Wizard</t>
  </si>
  <si>
    <t>Vin de France Orange</t>
  </si>
  <si>
    <t>149; 199</t>
  </si>
  <si>
    <t>Les Grandes Serres</t>
  </si>
  <si>
    <t>Ja (tillf)</t>
  </si>
  <si>
    <t>Ripasso</t>
  </si>
  <si>
    <t>209; 279</t>
  </si>
  <si>
    <t>La Perriére Silex Sancerre</t>
  </si>
  <si>
    <t>Saget La Perrier</t>
  </si>
  <si>
    <t>299; 399</t>
  </si>
  <si>
    <t>Sancerre</t>
  </si>
  <si>
    <t>Smith Street Brew</t>
  </si>
  <si>
    <t>XII [Lina]</t>
  </si>
  <si>
    <t>29,90; 39,90; 40,90; 40,60</t>
  </si>
  <si>
    <t>Dalarnas län</t>
  </si>
  <si>
    <t>Hedemora kommun</t>
  </si>
  <si>
    <t>Oppigårds Bryggeri AB</t>
  </si>
  <si>
    <t>Crozes-Hermitage</t>
  </si>
  <si>
    <t>300; 399; 295</t>
  </si>
  <si>
    <t>Rhonedalen</t>
  </si>
  <si>
    <t>Domaine les Alexandrins</t>
  </si>
  <si>
    <t>Domaine Chibaou</t>
  </si>
  <si>
    <t>Surnaturel Merlot</t>
  </si>
  <si>
    <t>99; 130; 129</t>
  </si>
  <si>
    <t>Mission Wine &amp; Spirit AB</t>
  </si>
  <si>
    <t>Chateau Du Cray</t>
  </si>
  <si>
    <t>Bourgogne Pinot Noir</t>
  </si>
  <si>
    <t>129; 169</t>
  </si>
  <si>
    <t>Maison André Goichot</t>
  </si>
  <si>
    <t>Platinum</t>
  </si>
  <si>
    <t>Gin Rosé Strawberry</t>
  </si>
  <si>
    <t>299; 391; 389; 361</t>
  </si>
  <si>
    <t>Gin &amp; Genever</t>
  </si>
  <si>
    <t>Gin</t>
  </si>
  <si>
    <t>England</t>
  </si>
  <si>
    <t>Tavasa</t>
  </si>
  <si>
    <t>Grapestyle Scandinavia</t>
  </si>
  <si>
    <t>CHILL OUT</t>
  </si>
  <si>
    <t>Shiraz Cabernet Sauvignon Organic Fairtrade</t>
  </si>
  <si>
    <t>69; 90; 89</t>
  </si>
  <si>
    <t>Anora Group PLC</t>
  </si>
  <si>
    <t>Anora Sweden AB</t>
  </si>
  <si>
    <t>Naranjo</t>
  </si>
  <si>
    <t>99; 129; 130; 129</t>
  </si>
  <si>
    <t>COMERCIAL PUENTE AUSTRAL WINES SPA</t>
  </si>
  <si>
    <t>Segerstrom Wines AB</t>
  </si>
  <si>
    <t>Baron Philippe de Rothschild Chile SA</t>
  </si>
  <si>
    <t>Escudo Rojo Gran Reserva</t>
  </si>
  <si>
    <t>119; 155; 199</t>
  </si>
  <si>
    <t>Valle Central</t>
  </si>
  <si>
    <t>Pouilly-Fumé</t>
  </si>
  <si>
    <t>Arrêt-Buffatte Domaine Tinel-Blondelet</t>
  </si>
  <si>
    <t>199; 259</t>
  </si>
  <si>
    <t>Pouilly Fumé</t>
  </si>
  <si>
    <t>Domaine Tinel-Blondelet</t>
  </si>
  <si>
    <t>Annandale</t>
  </si>
  <si>
    <t>Whiskykalendern No 6 UNPEATED EX-RED WINE CASK</t>
  </si>
  <si>
    <t>829; 1074; 1073</t>
  </si>
  <si>
    <t>House of Liquids</t>
  </si>
  <si>
    <t>Whiskykalendern No 7 PEATED-EX-RED WINE CASK</t>
  </si>
  <si>
    <t>Via del Campo</t>
  </si>
  <si>
    <t>Rosado Tempranillo Bobal</t>
  </si>
  <si>
    <t>69; 89</t>
  </si>
  <si>
    <t>Kastilien-La Mancha</t>
  </si>
  <si>
    <t>VdlT Castilla</t>
  </si>
  <si>
    <t>Nordic Sea Winery</t>
  </si>
  <si>
    <t>Indomita Gran Reserva</t>
  </si>
  <si>
    <t>Chardonnay Riesling</t>
  </si>
  <si>
    <t>69; 89; 109</t>
  </si>
  <si>
    <t>Aconcagua</t>
  </si>
  <si>
    <t>Casablanca</t>
  </si>
  <si>
    <t>Viña Indómita</t>
  </si>
  <si>
    <t>Indian Wells Cabernet Sauvignon</t>
  </si>
  <si>
    <t>69; 89; 125; 119</t>
  </si>
  <si>
    <t>Lövnäs Bryggeri</t>
  </si>
  <si>
    <t>Dubbel IPA</t>
  </si>
  <si>
    <t>34,90; 45; 45,40; 44,90</t>
  </si>
  <si>
    <t>Imperial/Dubbel IPA</t>
  </si>
  <si>
    <t>Södertälje kommun</t>
  </si>
  <si>
    <t>JAGA Solutions AB</t>
  </si>
  <si>
    <t>Barbaresco</t>
  </si>
  <si>
    <t>Meruzzano</t>
  </si>
  <si>
    <t>319; 409</t>
  </si>
  <si>
    <t>Orlando Abrigo</t>
  </si>
  <si>
    <t>Sigva Partner in Wine AB</t>
  </si>
  <si>
    <t>Edinburgh Gin</t>
  </si>
  <si>
    <t>329; 420; 419; 399; 389</t>
  </si>
  <si>
    <t>Edinburgh Gin Distillery</t>
  </si>
  <si>
    <t>Crude Oil by Pistonhead</t>
  </si>
  <si>
    <t>Shot med smak av lakrits &amp; chili</t>
  </si>
  <si>
    <t>149; 189; 179</t>
  </si>
  <si>
    <t>Annan likör</t>
  </si>
  <si>
    <t>Brutal Brewing</t>
  </si>
  <si>
    <t>Langhe Nebbiolo</t>
  </si>
  <si>
    <t>149; 189; 199</t>
  </si>
  <si>
    <t>Langhe</t>
  </si>
  <si>
    <t>Ja (tillf, hos lev)</t>
  </si>
  <si>
    <t>Lucky Buddha</t>
  </si>
  <si>
    <t>22,90; 28,90</t>
  </si>
  <si>
    <t>Folkrepubliken Kina</t>
  </si>
  <si>
    <t>Cheerday Brewery</t>
  </si>
  <si>
    <t>Cellier des Dauphins</t>
  </si>
  <si>
    <t>Réserve Intense</t>
  </si>
  <si>
    <t>115; 145; 139</t>
  </si>
  <si>
    <t>Côtes du Rhône</t>
  </si>
  <si>
    <t>Toi Toi</t>
  </si>
  <si>
    <t>Marlborough Pinot Noir</t>
  </si>
  <si>
    <t>39; 49; 59</t>
  </si>
  <si>
    <t>Marlborough Wine Limited</t>
  </si>
  <si>
    <t>Kiviks Musteri AB</t>
  </si>
  <si>
    <t>Le Sablou</t>
  </si>
  <si>
    <t>Bergerac</t>
  </si>
  <si>
    <t>79; 99; 89</t>
  </si>
  <si>
    <t>Frankrike sydväst</t>
  </si>
  <si>
    <t>Grands Chais de Saint Laurent</t>
  </si>
  <si>
    <t>Altero</t>
  </si>
  <si>
    <t>79; 99</t>
  </si>
  <si>
    <t>My Way</t>
  </si>
  <si>
    <t>Florante</t>
  </si>
  <si>
    <t>Vini Bella Terra</t>
  </si>
  <si>
    <t>Castelcaia</t>
  </si>
  <si>
    <t>Riserva</t>
  </si>
  <si>
    <t>Apulien</t>
  </si>
  <si>
    <t>Salice Salentino</t>
  </si>
  <si>
    <t>Tahbilk</t>
  </si>
  <si>
    <t>The Tower Sangiovese</t>
  </si>
  <si>
    <t>79; 99; 119</t>
  </si>
  <si>
    <t>Victoria</t>
  </si>
  <si>
    <t>Kleine Zalze</t>
  </si>
  <si>
    <t>Pinotage</t>
  </si>
  <si>
    <t>119; 149; 159</t>
  </si>
  <si>
    <t>Château La Rame</t>
  </si>
  <si>
    <t>119; 149; 139</t>
  </si>
  <si>
    <t>Sainte-Croix-du-Mont</t>
  </si>
  <si>
    <t>Chateau La Rame</t>
  </si>
  <si>
    <t>Provinum Vinhandel AB</t>
  </si>
  <si>
    <t>Stockholms</t>
  </si>
  <si>
    <t>Bitter</t>
  </si>
  <si>
    <t>282; 353; 349</t>
  </si>
  <si>
    <t>Classico Organic</t>
  </si>
  <si>
    <t>159; 199</t>
  </si>
  <si>
    <t>PF</t>
  </si>
  <si>
    <t>Cabernet Sauvignon</t>
  </si>
  <si>
    <t>199; 249</t>
  </si>
  <si>
    <t>Peter Falke Wines</t>
  </si>
  <si>
    <t>Craft Craver AB</t>
  </si>
  <si>
    <t>Pirie</t>
  </si>
  <si>
    <t>Traditional Method</t>
  </si>
  <si>
    <t>Tasmanien</t>
  </si>
  <si>
    <t>Brown Family Wine Group</t>
  </si>
  <si>
    <t>Whole Cluster Pinot Noir</t>
  </si>
  <si>
    <t>399; 499; 529</t>
  </si>
  <si>
    <t>Marolo</t>
  </si>
  <si>
    <t>Grappa Collezione</t>
  </si>
  <si>
    <t>599; 749; 568; 599</t>
  </si>
  <si>
    <t>Grappa &amp; Marc</t>
  </si>
  <si>
    <t>Grappa</t>
  </si>
  <si>
    <t>Distilleria Santa Teresa Fratelli Marolo s.r.l</t>
  </si>
  <si>
    <t>Fontana Food AB</t>
  </si>
  <si>
    <t>5 flaskor à 50ml</t>
  </si>
  <si>
    <t>Highland Park</t>
  </si>
  <si>
    <t>56 Years</t>
  </si>
  <si>
    <t>400000; 500000</t>
  </si>
  <si>
    <t>The Edrington Group</t>
  </si>
  <si>
    <t>Edrington Sweden AB</t>
  </si>
  <si>
    <t>Villa di Geggiano</t>
  </si>
  <si>
    <t>Bandinello</t>
  </si>
  <si>
    <t>229; 286; 229; 224; 198</t>
  </si>
  <si>
    <t>Andrea Boscu Bianchi Bandinelli</t>
  </si>
  <si>
    <t>Avivera AB</t>
  </si>
  <si>
    <t>Bearded Rabbit Brewery</t>
  </si>
  <si>
    <t>Stampen Lager</t>
  </si>
  <si>
    <t>23,20; 28,90; 28</t>
  </si>
  <si>
    <t>Bearded Rabbit Brewery AB</t>
  </si>
  <si>
    <t>Ben Lomond</t>
  </si>
  <si>
    <t>Scottish Gin</t>
  </si>
  <si>
    <t>369; 459</t>
  </si>
  <si>
    <t>Loch Lomond Group</t>
  </si>
  <si>
    <t>Södra Maltfabriken</t>
  </si>
  <si>
    <t>Old Tom Gin</t>
  </si>
  <si>
    <t>299; 371; 360; 359</t>
  </si>
  <si>
    <t>Haninge kommun</t>
  </si>
  <si>
    <t>Södra Maltfabriken AB</t>
  </si>
  <si>
    <t>Smokehead</t>
  </si>
  <si>
    <t>Rum Rebel</t>
  </si>
  <si>
    <t>549; 679; 699; 739</t>
  </si>
  <si>
    <t>Islay</t>
  </si>
  <si>
    <t>Ian Macloed Distillers Ltd</t>
  </si>
  <si>
    <t>Sherry Cask Blast</t>
  </si>
  <si>
    <t>549; 679; 699; 849</t>
  </si>
  <si>
    <t>Greystone Vineyard</t>
  </si>
  <si>
    <t>Ferment</t>
  </si>
  <si>
    <t>299; 369; 499</t>
  </si>
  <si>
    <t>Paolini</t>
  </si>
  <si>
    <t>Organic White</t>
  </si>
  <si>
    <t>129; 159</t>
  </si>
  <si>
    <t>Sicilien</t>
  </si>
  <si>
    <t>Terre Siciliane</t>
  </si>
  <si>
    <t>Cantina Paolini</t>
  </si>
  <si>
    <t>Box</t>
  </si>
  <si>
    <t>Herdade dos Lagos</t>
  </si>
  <si>
    <t>Carapeto</t>
  </si>
  <si>
    <t>129; 159; 149</t>
  </si>
  <si>
    <t>Alentejo</t>
  </si>
  <si>
    <t>Alentejano</t>
  </si>
  <si>
    <t>Iconic Wines</t>
  </si>
  <si>
    <t>ZIP Orange Longdrink</t>
  </si>
  <si>
    <t>12,90; 15,90</t>
  </si>
  <si>
    <t>Blanddryck</t>
  </si>
  <si>
    <t>Le Ciel</t>
  </si>
  <si>
    <t>69; 85; 95; 89</t>
  </si>
  <si>
    <t>Fields Wine Company AB</t>
  </si>
  <si>
    <t>Lourensford Kleipot Vinlåda</t>
  </si>
  <si>
    <t>Rött och vitt</t>
  </si>
  <si>
    <t>2250; 2766; 2760</t>
  </si>
  <si>
    <t>Vinlåda</t>
  </si>
  <si>
    <t>Lourensford</t>
  </si>
  <si>
    <t>6 flaskor à 750ml</t>
  </si>
  <si>
    <t>Willamette Valley Pinot noir</t>
  </si>
  <si>
    <t>Adelsheim Vineyard</t>
  </si>
  <si>
    <t>349; 429; 439</t>
  </si>
  <si>
    <t>Oregon</t>
  </si>
  <si>
    <t>Willamette Valley</t>
  </si>
  <si>
    <t>Tryffelsvinet AB</t>
  </si>
  <si>
    <t>89; 109</t>
  </si>
  <si>
    <t>Maison Francoise Côtes de Marmandais</t>
  </si>
  <si>
    <t>Abouriou Merlot</t>
  </si>
  <si>
    <t>49; 60; 59; 59,11; 69; 79; 99</t>
  </si>
  <si>
    <t>Côtes du Marmandais</t>
  </si>
  <si>
    <t>Cave du Marmandais</t>
  </si>
  <si>
    <t>Château Pineraie</t>
  </si>
  <si>
    <t>119; 145; 139</t>
  </si>
  <si>
    <t>Stramt &amp; Nyanserat</t>
  </si>
  <si>
    <t>Cahors</t>
  </si>
  <si>
    <t>Vintrio Wine AB</t>
  </si>
  <si>
    <t>Öresunds Ångbryggeri</t>
  </si>
  <si>
    <t>Pale Ale</t>
  </si>
  <si>
    <t>22,90; 27,90</t>
  </si>
  <si>
    <t>Amerikansk pale ale (APA)</t>
  </si>
  <si>
    <t>Skåne län</t>
  </si>
  <si>
    <t>Helsingborgs stad</t>
  </si>
  <si>
    <t>Benchwarmers Brewing Co</t>
  </si>
  <si>
    <t>Benchwarmers Brewing Co AB</t>
  </si>
  <si>
    <t>Bäckalund Gårdsbryggeri</t>
  </si>
  <si>
    <t>ESB Sjönära</t>
  </si>
  <si>
    <t>31,20; 38</t>
  </si>
  <si>
    <t>Extra special bitter</t>
  </si>
  <si>
    <t>Jönköpings län</t>
  </si>
  <si>
    <t>Mullsjö kommun</t>
  </si>
  <si>
    <t>MN Choklad AB</t>
  </si>
  <si>
    <t>Ponte Villoni</t>
  </si>
  <si>
    <t>Prosecco Extra Dry</t>
  </si>
  <si>
    <t>79; 96</t>
  </si>
  <si>
    <t>Grands Chais de France</t>
  </si>
  <si>
    <t>Dugges</t>
  </si>
  <si>
    <t>Easter 99</t>
  </si>
  <si>
    <t>99; 120,10; 120</t>
  </si>
  <si>
    <t>Porter &amp; Stout</t>
  </si>
  <si>
    <t>Imperial porter och stout</t>
  </si>
  <si>
    <t>Dugges Bryggeri</t>
  </si>
  <si>
    <t>Dugges Bryggeri AB</t>
  </si>
  <si>
    <t>Brunello di Montalcino</t>
  </si>
  <si>
    <t>La Fuga</t>
  </si>
  <si>
    <t>329; 399</t>
  </si>
  <si>
    <t>Folonari</t>
  </si>
  <si>
    <t>Cask Strength</t>
  </si>
  <si>
    <t>Highlands</t>
  </si>
  <si>
    <t>Chambertin Grand Cru</t>
  </si>
  <si>
    <t>Domaine Trapet</t>
  </si>
  <si>
    <t>16499; 19999</t>
  </si>
  <si>
    <t>Côte de Nuits</t>
  </si>
  <si>
    <t>Omakase Riesling</t>
  </si>
  <si>
    <t>Yugen Estate</t>
  </si>
  <si>
    <t>99; 120</t>
  </si>
  <si>
    <t>Baden</t>
  </si>
  <si>
    <t>Dry Gin</t>
  </si>
  <si>
    <t>299; 362; 351</t>
  </si>
  <si>
    <t>Södra Maltfabriken Brewery</t>
  </si>
  <si>
    <t>Generous</t>
  </si>
  <si>
    <t>399; 480; 479</t>
  </si>
  <si>
    <t>La Martiniquaise</t>
  </si>
  <si>
    <t>Tamdhu</t>
  </si>
  <si>
    <t>15 Years</t>
  </si>
  <si>
    <t>999; 1201; 1199</t>
  </si>
  <si>
    <t>Tamdhu Distillery</t>
  </si>
  <si>
    <t>Nanit Orange</t>
  </si>
  <si>
    <t>Organic</t>
  </si>
  <si>
    <t>99; 119</t>
  </si>
  <si>
    <t>Hammeken Cellars</t>
  </si>
  <si>
    <t>Ingrosso</t>
  </si>
  <si>
    <t>Primitivo</t>
  </si>
  <si>
    <t>Spring Wine &amp; Spirits</t>
  </si>
  <si>
    <t>Dolly</t>
  </si>
  <si>
    <t>Accolade Wines Europe Trading Ltd</t>
  </si>
  <si>
    <t>Ingrosso Io e te</t>
  </si>
  <si>
    <t>Vino Spumante Extra Dry</t>
  </si>
  <si>
    <t>Sumo Cat Riesling</t>
  </si>
  <si>
    <t>Citizen Wine</t>
  </si>
  <si>
    <t>Rheinhessen</t>
  </si>
  <si>
    <t>Biber Beverage AB</t>
  </si>
  <si>
    <t>Skepparps</t>
  </si>
  <si>
    <t>Trouvé</t>
  </si>
  <si>
    <t>495; 595; 795</t>
  </si>
  <si>
    <t>Neno produttori délite</t>
  </si>
  <si>
    <t>Skepparps Vingård</t>
  </si>
  <si>
    <t>Relax</t>
  </si>
  <si>
    <t>99; 119; 129; 179</t>
  </si>
  <si>
    <t>Schmitt Söhne</t>
  </si>
  <si>
    <t>Piemonte Rosato</t>
  </si>
  <si>
    <t>Frizzante</t>
  </si>
  <si>
    <t>149; 179; 169</t>
  </si>
  <si>
    <t>Ca' de Lion</t>
  </si>
  <si>
    <t>Plaimont</t>
  </si>
  <si>
    <t>Géoglyphe Madiran</t>
  </si>
  <si>
    <t>149; 179</t>
  </si>
  <si>
    <t>Madiran</t>
  </si>
  <si>
    <t>Plaimont Producteurs</t>
  </si>
  <si>
    <t>Jurtschitsch</t>
  </si>
  <si>
    <t>Urgestein Grüner Veltliner</t>
  </si>
  <si>
    <t>199; 239; 189</t>
  </si>
  <si>
    <t>Kamptal</t>
  </si>
  <si>
    <t>Weingut Jurtschitsch</t>
  </si>
  <si>
    <t>Shaman's Bilberry</t>
  </si>
  <si>
    <t>249; 299; 329</t>
  </si>
  <si>
    <t>Smaksatt sprit</t>
  </si>
  <si>
    <t>Smaksatt vodka</t>
  </si>
  <si>
    <t>Finland</t>
  </si>
  <si>
    <t>Oy Shaman Spirits Ltd</t>
  </si>
  <si>
    <t>Brill &amp; Co AB</t>
  </si>
  <si>
    <t>Shaman's</t>
  </si>
  <si>
    <t>Lingonberry Vodka</t>
  </si>
  <si>
    <t>Espresso Vodka</t>
  </si>
  <si>
    <t>249; 299; 319</t>
  </si>
  <si>
    <t>Skogs IPA</t>
  </si>
  <si>
    <t>24,90; 29,90; 26,30; 25,90; 29,90</t>
  </si>
  <si>
    <t>India pale ale (IPA)</t>
  </si>
  <si>
    <t>Fettercairn</t>
  </si>
  <si>
    <t>12 Years</t>
  </si>
  <si>
    <t>499; 599</t>
  </si>
  <si>
    <t>Whyte &amp; Mackay</t>
  </si>
  <si>
    <t>Aultmore</t>
  </si>
  <si>
    <t>12 Years Nidingen lighthouse</t>
  </si>
  <si>
    <t>999; 1199</t>
  </si>
  <si>
    <t>Douglas Laing &amp; Co.</t>
  </si>
  <si>
    <t>Selected Malts Barkevall Westerberg AB</t>
  </si>
  <si>
    <t>Musigny Grand Cru Vieilles Vignes</t>
  </si>
  <si>
    <t>Domaine Comte Georges de Vogüé</t>
  </si>
  <si>
    <t>19999; 23999</t>
  </si>
  <si>
    <t>Nc'Nean Distillery</t>
  </si>
  <si>
    <t>Nc'nean Quiet Rebels Lorna</t>
  </si>
  <si>
    <t>799; 949; 1099</t>
  </si>
  <si>
    <t>Loch Lomond</t>
  </si>
  <si>
    <t>Single Grain</t>
  </si>
  <si>
    <t>379; 449; 439</t>
  </si>
  <si>
    <t>Grainwhisky</t>
  </si>
  <si>
    <t>Single Grain Peated</t>
  </si>
  <si>
    <t>Wehlener Sonnenuhr Kabinett</t>
  </si>
  <si>
    <t>Joh Jos Prüm</t>
  </si>
  <si>
    <t>1099; 1299</t>
  </si>
  <si>
    <t>Mosel</t>
  </si>
  <si>
    <t>Joh. Jos. Prüm</t>
  </si>
  <si>
    <t>Annonce</t>
  </si>
  <si>
    <t>de Bélair-Monange</t>
  </si>
  <si>
    <t>550; 650; 888</t>
  </si>
  <si>
    <t>Saint-Emilion</t>
  </si>
  <si>
    <t>Biograf Syrah The Bench Vineyard</t>
  </si>
  <si>
    <t>Sabelli-Frisch</t>
  </si>
  <si>
    <t>279; 329; 350; 349</t>
  </si>
  <si>
    <t>Sabelli-Frisch Wines Inc</t>
  </si>
  <si>
    <t>Milk Fed Pinot Noir YF2 Vineyard</t>
  </si>
  <si>
    <t>279; 329</t>
  </si>
  <si>
    <t>Nc'nean Huntress Organic Single Malt Whisky</t>
  </si>
  <si>
    <t>849; 999; 1199</t>
  </si>
  <si>
    <t>Green Flash</t>
  </si>
  <si>
    <t>West Coast IPA</t>
  </si>
  <si>
    <t>22,90; 26,90</t>
  </si>
  <si>
    <t>Green Flash Brewing Co</t>
  </si>
  <si>
    <t>TOMP Beer Wine &amp; Spirits AB</t>
  </si>
  <si>
    <t>Roslagens</t>
  </si>
  <si>
    <t>Gräsklipparöl</t>
  </si>
  <si>
    <t>29,90; 35; 34,90; 29,90</t>
  </si>
  <si>
    <t>Golden/Blond ale</t>
  </si>
  <si>
    <t>Norrtälje kommun</t>
  </si>
  <si>
    <t>Roslagens Brygghus</t>
  </si>
  <si>
    <t>Roslagens Brygghus AB</t>
  </si>
  <si>
    <t>Baron-Fuenté</t>
  </si>
  <si>
    <t>Galipettes</t>
  </si>
  <si>
    <t>299; 350; 349</t>
  </si>
  <si>
    <t>Baron Fuenté</t>
  </si>
  <si>
    <t>Smith Street</t>
  </si>
  <si>
    <t>Milkshake DIPA Strawberry &amp; Vanilla</t>
  </si>
  <si>
    <t>59; 69</t>
  </si>
  <si>
    <t>Milkshake DIPA Blueberry &amp; Vanilla</t>
  </si>
  <si>
    <t>Indomita</t>
  </si>
  <si>
    <t>Varietal Chardonnay</t>
  </si>
  <si>
    <t>59; 69; 75; 69; 75; 79</t>
  </si>
  <si>
    <t>Viña Indomita</t>
  </si>
  <si>
    <t>Amahagan</t>
  </si>
  <si>
    <t>Edition No.1</t>
  </si>
  <si>
    <t>898; 1050; 1048</t>
  </si>
  <si>
    <t>Japan</t>
  </si>
  <si>
    <t>Nagahama Roman Beer Co Ltd</t>
  </si>
  <si>
    <t>Clydesdale AB</t>
  </si>
  <si>
    <t>Cluster Flock Sauvignon Blanc</t>
  </si>
  <si>
    <t>119; 139</t>
  </si>
  <si>
    <t>Fritz Walter</t>
  </si>
  <si>
    <t>Weissburgunder Trocken</t>
  </si>
  <si>
    <t>119; 139; 129</t>
  </si>
  <si>
    <t>Pfalz</t>
  </si>
  <si>
    <t>LES GRANDS CHAIS DE France</t>
  </si>
  <si>
    <t>Derivino AB</t>
  </si>
  <si>
    <t>Bosman</t>
  </si>
  <si>
    <t>Twyfeling Cinsault</t>
  </si>
  <si>
    <t>179; 209</t>
  </si>
  <si>
    <t>Bosman Adama t/a Bosman Family Vineyards</t>
  </si>
  <si>
    <t>Göteborgs Nya Bryggeri</t>
  </si>
  <si>
    <t>Berry Passion</t>
  </si>
  <si>
    <t>29,90; 34,90; 29,90; 29,80</t>
  </si>
  <si>
    <t>Berliner weisse</t>
  </si>
  <si>
    <t>Göteborgs Nya Bryggeri AB</t>
  </si>
  <si>
    <t>Perfectly Squared Brewing</t>
  </si>
  <si>
    <t>Strawblime</t>
  </si>
  <si>
    <t>29,90; 34,90</t>
  </si>
  <si>
    <t>Lunds kommun</t>
  </si>
  <si>
    <t>Perfectly Squared Brewing AB</t>
  </si>
  <si>
    <t>Dunkel</t>
  </si>
  <si>
    <t>29,90; 34,90; 32,90</t>
  </si>
  <si>
    <t>Returglas</t>
  </si>
  <si>
    <t>GBG Nya</t>
  </si>
  <si>
    <t>IPL</t>
  </si>
  <si>
    <t>Modern stil/India Pale Lager</t>
  </si>
  <si>
    <t>San Salvatore</t>
  </si>
  <si>
    <t>Pian di Stio</t>
  </si>
  <si>
    <t>299; 349</t>
  </si>
  <si>
    <t>Azienda Agricola San Salvatore 1988</t>
  </si>
  <si>
    <t>Valmaggiore Nebbiolo</t>
  </si>
  <si>
    <t>L`Echelier</t>
  </si>
  <si>
    <t>Domaine des Roches Neuves</t>
  </si>
  <si>
    <t>299; 349; 379; 549</t>
  </si>
  <si>
    <t>Anjou-Saumur</t>
  </si>
  <si>
    <t>High Coast Distillery</t>
  </si>
  <si>
    <t>Harbours Collection 04 Nyland</t>
  </si>
  <si>
    <t>599; 699; 799</t>
  </si>
  <si>
    <t>Västernorrlands län</t>
  </si>
  <si>
    <t>Kramfors kommun</t>
  </si>
  <si>
    <t>High Coast Distillery AB</t>
  </si>
  <si>
    <t>Viticcio</t>
  </si>
  <si>
    <t>Monile</t>
  </si>
  <si>
    <t>649; 756; 754</t>
  </si>
  <si>
    <t>Fattoria Viticcio</t>
  </si>
  <si>
    <t>V Import AB</t>
  </si>
  <si>
    <t>Westerhall No.10</t>
  </si>
  <si>
    <t>638; 742; 741</t>
  </si>
  <si>
    <t>Rom &amp; Lagrad sockerrörssprit</t>
  </si>
  <si>
    <t>Mörk rom &amp; Lagrad sockerrörssprit</t>
  </si>
  <si>
    <t>Grenada</t>
  </si>
  <si>
    <t>Westerhall Rums UK</t>
  </si>
  <si>
    <t>Elixir Distillers</t>
  </si>
  <si>
    <t>Tormore Legacy #800338</t>
  </si>
  <si>
    <t>1068; 1240; 1238</t>
  </si>
  <si>
    <t>Bromma Allmänna Bryggeri</t>
  </si>
  <si>
    <t>Lager Helles</t>
  </si>
  <si>
    <t>24,90; 28,90</t>
  </si>
  <si>
    <t>Dortmunder och helles</t>
  </si>
  <si>
    <t>Stockholms stad</t>
  </si>
  <si>
    <t>Bryggerihangaren AB</t>
  </si>
  <si>
    <t>Tormore</t>
  </si>
  <si>
    <t>Legacy #44036</t>
  </si>
  <si>
    <t>1268; 1471; 1469</t>
  </si>
  <si>
    <t>Maze</t>
  </si>
  <si>
    <t>Cabernet Sauvignon Grand Reserve</t>
  </si>
  <si>
    <t>69; 80; 99; 119</t>
  </si>
  <si>
    <t>Vinous Australis</t>
  </si>
  <si>
    <t>Joseph Cartron</t>
  </si>
  <si>
    <t>Cocody Kokos</t>
  </si>
  <si>
    <t>259; 300</t>
  </si>
  <si>
    <t>Nötlikör</t>
  </si>
  <si>
    <t>Cartron</t>
  </si>
  <si>
    <t>The Wine and Spirits Collective Sweden AB</t>
  </si>
  <si>
    <t>Bosio Passato</t>
  </si>
  <si>
    <t>Barbera d´Alba</t>
  </si>
  <si>
    <t>250; 289; 290; 283</t>
  </si>
  <si>
    <t>Barbera d'Alba</t>
  </si>
  <si>
    <t>Bosio Family Estates srl</t>
  </si>
  <si>
    <t>Malchamax AB</t>
  </si>
  <si>
    <t>Kloof Street</t>
  </si>
  <si>
    <t>Rouge</t>
  </si>
  <si>
    <t>129; 149</t>
  </si>
  <si>
    <t>Mullineux Family Wines</t>
  </si>
  <si>
    <t>Benchwarmers</t>
  </si>
  <si>
    <t>What Does A Gay Horse Eat?</t>
  </si>
  <si>
    <t>25,90; 29,90</t>
  </si>
  <si>
    <t>Seven Springs</t>
  </si>
  <si>
    <t>Gamay Noir</t>
  </si>
  <si>
    <t>389; 449</t>
  </si>
  <si>
    <t>Evening Land Vineyards</t>
  </si>
  <si>
    <t>Las Moras</t>
  </si>
  <si>
    <t>Reserve Chardonnay</t>
  </si>
  <si>
    <t>79; 91; 89; 90</t>
  </si>
  <si>
    <t>San Juan</t>
  </si>
  <si>
    <t>Finca Las Moras</t>
  </si>
  <si>
    <t>79; 91</t>
  </si>
  <si>
    <t>Benchwarmers Brewing</t>
  </si>
  <si>
    <t>Hopfengeist</t>
  </si>
  <si>
    <t>19,90; 22,90</t>
  </si>
  <si>
    <t>Kölsch-stil</t>
  </si>
  <si>
    <t>Manoella</t>
  </si>
  <si>
    <t>199; 229; 219</t>
  </si>
  <si>
    <t>Wine &amp; Soul</t>
  </si>
  <si>
    <t>Trentenare</t>
  </si>
  <si>
    <t>199; 229</t>
  </si>
  <si>
    <t>Barolo Ceretta</t>
  </si>
  <si>
    <t>Azelia</t>
  </si>
  <si>
    <t>999; 1149</t>
  </si>
  <si>
    <t>Barolo</t>
  </si>
  <si>
    <t>Graacher Himmelreich Kabinett</t>
  </si>
  <si>
    <t>Paolo Scavino</t>
  </si>
  <si>
    <t>Barolo Bricco Ambrogio</t>
  </si>
  <si>
    <t>669; 769</t>
  </si>
  <si>
    <t>Westerhall No.7</t>
  </si>
  <si>
    <t>588; 674; 673</t>
  </si>
  <si>
    <t>Mossburn</t>
  </si>
  <si>
    <t>12 Years Speyside blended malt Scotch whisky Dupont calvados finish</t>
  </si>
  <si>
    <t>959; 1099</t>
  </si>
  <si>
    <t>Mossburn Distilleries LTD</t>
  </si>
  <si>
    <t>Berntson Brands AB</t>
  </si>
  <si>
    <t>Château Picque Caillou</t>
  </si>
  <si>
    <t>Grand Vin De Graves</t>
  </si>
  <si>
    <t>699; 800; 799; 599; 590</t>
  </si>
  <si>
    <t>Graves</t>
  </si>
  <si>
    <t>Château Picque-Caillou</t>
  </si>
  <si>
    <t>Fåken Lipstick Sour</t>
  </si>
  <si>
    <t>249; 285; 279; 315</t>
  </si>
  <si>
    <t>Call it a Day</t>
  </si>
  <si>
    <t>Crisp &amp; Classic</t>
  </si>
  <si>
    <t>209; 239; 229</t>
  </si>
  <si>
    <t>Leeuwenkuil</t>
  </si>
  <si>
    <t>EtOH</t>
  </si>
  <si>
    <t>Hafnium</t>
  </si>
  <si>
    <t>349; 399; 549</t>
  </si>
  <si>
    <t>Danmark</t>
  </si>
  <si>
    <t>EtOH Spirits Aps</t>
  </si>
  <si>
    <t>Oppigårds</t>
  </si>
  <si>
    <t>Thurbo Barley Wine BBA</t>
  </si>
  <si>
    <t>69,90; 79,90; 89,60</t>
  </si>
  <si>
    <t>Barley wine</t>
  </si>
  <si>
    <t>Oppigårds Bryggeri</t>
  </si>
  <si>
    <t>Still Gin</t>
  </si>
  <si>
    <t>By Dre and Snoop</t>
  </si>
  <si>
    <t>699; 799; 798</t>
  </si>
  <si>
    <t>Defiant Ones LLC</t>
  </si>
  <si>
    <t>QBN Invest AB</t>
  </si>
  <si>
    <t>Stanhope</t>
  </si>
  <si>
    <t>Kentucky Straight Rye Whiskey</t>
  </si>
  <si>
    <t>699; 799</t>
  </si>
  <si>
    <t>Ryewhisky</t>
  </si>
  <si>
    <t>Kentucky Straight Bourbon Whiskey</t>
  </si>
  <si>
    <t>Bourbon</t>
  </si>
  <si>
    <t>Westerhall No.5</t>
  </si>
  <si>
    <t>548; 626; 625</t>
  </si>
  <si>
    <t>Peppermint Vert Mynta</t>
  </si>
  <si>
    <t>219; 250</t>
  </si>
  <si>
    <t>Barossa Shiraz</t>
  </si>
  <si>
    <t>By Brian Dominic</t>
  </si>
  <si>
    <t>289; 329</t>
  </si>
  <si>
    <t>Adelaide</t>
  </si>
  <si>
    <t>Dominic Wines</t>
  </si>
  <si>
    <t>Côte-de-Brouilly</t>
  </si>
  <si>
    <t>Mommessin</t>
  </si>
  <si>
    <t>219; 249; 239</t>
  </si>
  <si>
    <t>Beaujolais</t>
  </si>
  <si>
    <t>Pommery</t>
  </si>
  <si>
    <t>Grand Cru Royal Edition</t>
  </si>
  <si>
    <t>2195; 2495</t>
  </si>
  <si>
    <t>Graacher Himmelreich Riesling Spätlese</t>
  </si>
  <si>
    <t>1099; 1249; 1199</t>
  </si>
  <si>
    <t>Westerhall No.3</t>
  </si>
  <si>
    <t>498; 566</t>
  </si>
  <si>
    <t>369; 419</t>
  </si>
  <si>
    <t>Le Philtre</t>
  </si>
  <si>
    <t>Organic Vodka</t>
  </si>
  <si>
    <t>499; 566</t>
  </si>
  <si>
    <t>Cantos de Valpiedra</t>
  </si>
  <si>
    <t>149; 169; 167</t>
  </si>
  <si>
    <t>Finca Valpiedra</t>
  </si>
  <si>
    <t>Arvid Nordquist Vin och Sprithandel</t>
  </si>
  <si>
    <t>Nivarius</t>
  </si>
  <si>
    <t>Tempranillo Blanco</t>
  </si>
  <si>
    <t>149; 169</t>
  </si>
  <si>
    <t>Bodegas Nivarius</t>
  </si>
  <si>
    <t>Divine AB</t>
  </si>
  <si>
    <t>Spring Village</t>
  </si>
  <si>
    <t>Syrah Organic</t>
  </si>
  <si>
    <t>149; 169; 159</t>
  </si>
  <si>
    <t>Sca Vignoble de la Voie d'Héraclès</t>
  </si>
  <si>
    <t>Påse</t>
  </si>
  <si>
    <t>Tumuñan</t>
  </si>
  <si>
    <t>Cabernet Sauvignon Syrah</t>
  </si>
  <si>
    <t>Rapel</t>
  </si>
  <si>
    <t>William Patrick Evelyn</t>
  </si>
  <si>
    <t>Winepartners Nordic AB</t>
  </si>
  <si>
    <t>Helsing</t>
  </si>
  <si>
    <t>London Dry Gin</t>
  </si>
  <si>
    <t>299; 339</t>
  </si>
  <si>
    <t>Lottenlund Estate</t>
  </si>
  <si>
    <t>Lottenlund Estate Events AB</t>
  </si>
  <si>
    <t>Corton Et Rognet Grand Cru</t>
  </si>
  <si>
    <t>Domaine Taupenot Merme</t>
  </si>
  <si>
    <t>2999; 3399; 3199</t>
  </si>
  <si>
    <t>Domaine Taupenot-Merme</t>
  </si>
  <si>
    <t>Bolgheri</t>
  </si>
  <si>
    <t>439; 497; 496</t>
  </si>
  <si>
    <t>IPA</t>
  </si>
  <si>
    <t>22,90; 25,90</t>
  </si>
  <si>
    <t>Santo Poco Mexican Maize Lager</t>
  </si>
  <si>
    <t>Stewart's</t>
  </si>
  <si>
    <t>229; 259; 255</t>
  </si>
  <si>
    <t>Blended whisky</t>
  </si>
  <si>
    <t>J &amp; G Stewart</t>
  </si>
  <si>
    <t>Inchmurrin (Deep Creatures) 96-97</t>
  </si>
  <si>
    <t>10 Years Old</t>
  </si>
  <si>
    <t>1138; 1287; 1286</t>
  </si>
  <si>
    <t>Brave New Spirits Ltd</t>
  </si>
  <si>
    <t>SARO Brewing</t>
  </si>
  <si>
    <t>Mecanique</t>
  </si>
  <si>
    <t>48,70; 55</t>
  </si>
  <si>
    <t>Hallands län</t>
  </si>
  <si>
    <t>Kungsbacka kommun</t>
  </si>
  <si>
    <t>SARO Brewing Company</t>
  </si>
  <si>
    <t>Craft Beer And Spirits Sweden AB</t>
  </si>
  <si>
    <t>High Voltage</t>
  </si>
  <si>
    <t>699; 789; 799; 739</t>
  </si>
  <si>
    <t>Domaine Battault</t>
  </si>
  <si>
    <t>Santenay Premier Cru Clos Rousseau Blanc</t>
  </si>
  <si>
    <t>549; 619</t>
  </si>
  <si>
    <t>Sarl Domaine Battault</t>
  </si>
  <si>
    <t>Santenay Premier Cru Grand Clos Rousseau Rouge</t>
  </si>
  <si>
    <t>Santenay Premier Cru Beauregard Rouge</t>
  </si>
  <si>
    <t>Fiorissimo</t>
  </si>
  <si>
    <t>Spumante Organic</t>
  </si>
  <si>
    <t>79; 89</t>
  </si>
  <si>
    <t>Pride Riesling</t>
  </si>
  <si>
    <t>Fab&amp;Fruity</t>
  </si>
  <si>
    <t>79; 89; 99</t>
  </si>
  <si>
    <t>Rheingau</t>
  </si>
  <si>
    <t>Patriarche</t>
  </si>
  <si>
    <t>Organic Brut</t>
  </si>
  <si>
    <t>Vin Mousseux de France</t>
  </si>
  <si>
    <t>G. Kriter &amp; Co</t>
  </si>
  <si>
    <t>Torsöl</t>
  </si>
  <si>
    <t>Disa Dipa</t>
  </si>
  <si>
    <t>38,80; 43,70; 43,60; 42,90; 41,80; 39,60; 38,10</t>
  </si>
  <si>
    <t>Mariestads kommun</t>
  </si>
  <si>
    <t>Torsöl Mikrobryggeri</t>
  </si>
  <si>
    <t>Torsöl Microbryggeri AB</t>
  </si>
  <si>
    <t>Torsöl Microbryggeri</t>
  </si>
  <si>
    <t>Loke IPA</t>
  </si>
  <si>
    <t>38,80; 43,70</t>
  </si>
  <si>
    <t>Frey Organic Riesling</t>
  </si>
  <si>
    <t>159; 179; 175</t>
  </si>
  <si>
    <t>Icon Wines</t>
  </si>
  <si>
    <t>Stigbergets</t>
  </si>
  <si>
    <t>Ljus Lager</t>
  </si>
  <si>
    <t>15,90; 17,90</t>
  </si>
  <si>
    <t>Stigbergets Bryggeri</t>
  </si>
  <si>
    <t>Stigbergets bryggeri AB</t>
  </si>
  <si>
    <t>Saint Clair</t>
  </si>
  <si>
    <t>Omaka Reserve Pinot Noir</t>
  </si>
  <si>
    <t>239; 269</t>
  </si>
  <si>
    <t>Saint Clair Family Estate</t>
  </si>
  <si>
    <t>Sigva AB</t>
  </si>
  <si>
    <t>Double Peached</t>
  </si>
  <si>
    <t>399; 449; 599</t>
  </si>
  <si>
    <t>Appealing</t>
  </si>
  <si>
    <t>Gläcken Imperial Stout</t>
  </si>
  <si>
    <t>39,90; 44,90</t>
  </si>
  <si>
    <t>Orgia</t>
  </si>
  <si>
    <t>Robert Sinskey Vineyards</t>
  </si>
  <si>
    <t>399; 449</t>
  </si>
  <si>
    <t>North Coast</t>
  </si>
  <si>
    <t>Robert Sinskey</t>
  </si>
  <si>
    <t>Corton Le Clos du Roi Grand Cru</t>
  </si>
  <si>
    <t>Domaine de la Vougeraie</t>
  </si>
  <si>
    <t>1599; 1799</t>
  </si>
  <si>
    <t>1199; 1349</t>
  </si>
  <si>
    <t>Kranemann Estates</t>
  </si>
  <si>
    <t>Ponte do Fumo Tinta Barroca</t>
  </si>
  <si>
    <t>799; 899; 898</t>
  </si>
  <si>
    <t>Kranemann Estates Lda.</t>
  </si>
  <si>
    <t>7999; 8999</t>
  </si>
  <si>
    <t>Bonnes-Mares Grand Cru</t>
  </si>
  <si>
    <t>3199; 3599</t>
  </si>
  <si>
    <t>Mazoyères-Chambertin Grand Cru</t>
  </si>
  <si>
    <t>3999; 4499; 4399</t>
  </si>
  <si>
    <t>Antica Sambuca</t>
  </si>
  <si>
    <t>Likör med Hallonsmak</t>
  </si>
  <si>
    <t>329; 370; 348; 333; 297</t>
  </si>
  <si>
    <t>Rossi Dassiago</t>
  </si>
  <si>
    <t>CC winery</t>
  </si>
  <si>
    <t>Bräntings Bränneri</t>
  </si>
  <si>
    <t>Whiskyglögg</t>
  </si>
  <si>
    <t>290; 326; 325</t>
  </si>
  <si>
    <t>Glögg och Glühwein</t>
  </si>
  <si>
    <t>Bräntings Bränneri AB</t>
  </si>
  <si>
    <t>Loch Lomond 25 years</t>
  </si>
  <si>
    <t>3999; 4490</t>
  </si>
  <si>
    <t>Brazilian Pineapple Gin</t>
  </si>
  <si>
    <t>Drumshanbo</t>
  </si>
  <si>
    <t>489; 549; 481</t>
  </si>
  <si>
    <t>P.J. Rigney Distillery and International Brands Limited</t>
  </si>
  <si>
    <t>Drumshanbo Sardinian</t>
  </si>
  <si>
    <t>Citrus Gin</t>
  </si>
  <si>
    <t>California Orange Gin</t>
  </si>
  <si>
    <t>Weingut Landmann</t>
  </si>
  <si>
    <t>Alpensegler Pinot Noir Organic</t>
  </si>
  <si>
    <t>115; 129; 139; 149</t>
  </si>
  <si>
    <t>Weingut Jürgen Landmann</t>
  </si>
  <si>
    <t>Lynx</t>
  </si>
  <si>
    <t>Black Label Petite Sirah</t>
  </si>
  <si>
    <t>115; 129; 139; 129</t>
  </si>
  <si>
    <t>House of Big Wines</t>
  </si>
  <si>
    <t>Bouchard Père et Fils</t>
  </si>
  <si>
    <t>Clos Vougeot Grand Cru</t>
  </si>
  <si>
    <t>3299; 3699</t>
  </si>
  <si>
    <t>Barolo Prapò</t>
  </si>
  <si>
    <t>829; 929; 899</t>
  </si>
  <si>
    <t>Islay Single Malt</t>
  </si>
  <si>
    <t>499; 559; 552; 549; 539</t>
  </si>
  <si>
    <t>Hebridean</t>
  </si>
  <si>
    <t>Journey</t>
  </si>
  <si>
    <t>598; 669; 668; 597</t>
  </si>
  <si>
    <t>Hunter Laing &amp; Company ltd</t>
  </si>
  <si>
    <t>Highland</t>
  </si>
  <si>
    <t>Annandale (Defender) 766</t>
  </si>
  <si>
    <t>8 Years Old</t>
  </si>
  <si>
    <t>1198; 1340; 1339</t>
  </si>
  <si>
    <t>Lowlands</t>
  </si>
  <si>
    <t>Gotlands Bryggeri</t>
  </si>
  <si>
    <t>Sleepy Bulldog Pale Ale</t>
  </si>
  <si>
    <t>16,90; 18,90</t>
  </si>
  <si>
    <t>Engelsk pale ale och bitter</t>
  </si>
  <si>
    <t>Col d'Orcia</t>
  </si>
  <si>
    <t>Rosso di Montalcino</t>
  </si>
  <si>
    <t>169; 189; 179; 169</t>
  </si>
  <si>
    <t>849; 949; 899</t>
  </si>
  <si>
    <t>Barolo Ravera</t>
  </si>
  <si>
    <t>849; 949; 929</t>
  </si>
  <si>
    <t>Barolo Monvigliero</t>
  </si>
  <si>
    <t>849; 949</t>
  </si>
  <si>
    <t>Rhubarb &amp; Ginger</t>
  </si>
  <si>
    <t>349; 390; 389</t>
  </si>
  <si>
    <t>Biograf Syrah White Hawk Vineyard</t>
  </si>
  <si>
    <t>429; 479; 499</t>
  </si>
  <si>
    <t>Amarone della Valpollicella</t>
  </si>
  <si>
    <t>Mizzon</t>
  </si>
  <si>
    <t>429; 479; 489</t>
  </si>
  <si>
    <t>Azienda Agricola Mizzon di Perusi Nicola</t>
  </si>
  <si>
    <t>Barolo Margheria</t>
  </si>
  <si>
    <t>869; 969; 949</t>
  </si>
  <si>
    <t>Barolo Bricco Fiasco</t>
  </si>
  <si>
    <t>Barolo San Rocco</t>
  </si>
  <si>
    <t>869; 969</t>
  </si>
  <si>
    <t>Maison Lombard Roussillon Trio</t>
  </si>
  <si>
    <t>Vitt, orange och rött vin</t>
  </si>
  <si>
    <t>660; 735</t>
  </si>
  <si>
    <t>Flera producenter</t>
  </si>
  <si>
    <t>Maison Lombard AB</t>
  </si>
  <si>
    <t>3 flaskor à 750ml</t>
  </si>
  <si>
    <t>Nashville Stories</t>
  </si>
  <si>
    <t>Jill Johnson Proudly Presents U.S Red Blend</t>
  </si>
  <si>
    <t>89; 99; 119</t>
  </si>
  <si>
    <t>Barbadillo</t>
  </si>
  <si>
    <t>Alba Balbaina</t>
  </si>
  <si>
    <t>89; 99; 159</t>
  </si>
  <si>
    <t>Disco Juice</t>
  </si>
  <si>
    <t>Fragolino</t>
  </si>
  <si>
    <t>89; 99</t>
  </si>
  <si>
    <t>Drycker av flera typer</t>
  </si>
  <si>
    <t>Övrigt mousserande</t>
  </si>
  <si>
    <t>Il Conte</t>
  </si>
  <si>
    <t>Rosso Organico</t>
  </si>
  <si>
    <t>Ascot</t>
  </si>
  <si>
    <t>Crisp White</t>
  </si>
  <si>
    <t>Raza Torrontés Pinot Grigio</t>
  </si>
  <si>
    <t>Druvigt &amp; Blommigt</t>
  </si>
  <si>
    <t>La Rioja</t>
  </si>
  <si>
    <t>La Riojana Coop</t>
  </si>
  <si>
    <t>The Big Zin</t>
  </si>
  <si>
    <t>Zinfandel Old Vines</t>
  </si>
  <si>
    <t>89; 99; 95</t>
  </si>
  <si>
    <t>Ardmore Rise of the Ardphroaig Mutant 10 years</t>
  </si>
  <si>
    <t>1078; 1199; 1198</t>
  </si>
  <si>
    <t>Massetti</t>
  </si>
  <si>
    <t>Vino Rosso</t>
  </si>
  <si>
    <t>179; 199</t>
  </si>
  <si>
    <t>Don PX</t>
  </si>
  <si>
    <t>359; 399; 397; 379</t>
  </si>
  <si>
    <t>Sherry &amp; Montilla</t>
  </si>
  <si>
    <t>Pedro ximénez (PX)</t>
  </si>
  <si>
    <t>Andalusien</t>
  </si>
  <si>
    <t>Montilla-Moriles</t>
  </si>
  <si>
    <t>Toro Albalá</t>
  </si>
  <si>
    <t>Viña Española AB</t>
  </si>
  <si>
    <t>Atlantis</t>
  </si>
  <si>
    <t>449; 499; 629</t>
  </si>
  <si>
    <t>Rye so Cherryous</t>
  </si>
  <si>
    <t>449; 499; 619</t>
  </si>
  <si>
    <t>Bacanal</t>
  </si>
  <si>
    <t>Mamajuana</t>
  </si>
  <si>
    <t>449; 499</t>
  </si>
  <si>
    <t>Dominikanska Republiken</t>
  </si>
  <si>
    <t>Bodegas Garris, S.R.L</t>
  </si>
  <si>
    <t>Star Cigar Stockholm AB</t>
  </si>
  <si>
    <t>Wehlener Sonnenuhr Riesling Auslese</t>
  </si>
  <si>
    <t>1349; 1499; 1459</t>
  </si>
  <si>
    <t>Barolo Riserva Rocche dell'Annunziata</t>
  </si>
  <si>
    <t>4499; 4999; 4899</t>
  </si>
  <si>
    <t>Charmes-Chambertin Grand Cru</t>
  </si>
  <si>
    <t>3599; 3999; 3799</t>
  </si>
  <si>
    <t>8999; 9999</t>
  </si>
  <si>
    <t>Chapelle-Chambertin Grand Cru</t>
  </si>
  <si>
    <t>4499; 4999</t>
  </si>
  <si>
    <t>Latricières-Chambertin Grand Cru</t>
  </si>
  <si>
    <t>Clos de Vougeot Grand Cru</t>
  </si>
  <si>
    <t>2699; 2999; 3001; 2799</t>
  </si>
  <si>
    <t>Tullibardine 228</t>
  </si>
  <si>
    <t>Burgundy Finish</t>
  </si>
  <si>
    <t>650; 722; 721</t>
  </si>
  <si>
    <t>Tullibardine Distillery</t>
  </si>
  <si>
    <t>Omnipollo</t>
  </si>
  <si>
    <t>Levon XV</t>
  </si>
  <si>
    <t>75; 83,20</t>
  </si>
  <si>
    <t>Ljus stark belgisk ale/Trippel</t>
  </si>
  <si>
    <t>Omnipollo AB</t>
  </si>
  <si>
    <t>Barolo Bussia Vigna Fantini</t>
  </si>
  <si>
    <t>829; 919; 918; 899</t>
  </si>
  <si>
    <t>Love Modern Lager</t>
  </si>
  <si>
    <t>38,80; 43; 40,30; 39,60</t>
  </si>
  <si>
    <t>Ellens Porter</t>
  </si>
  <si>
    <t>38,80; 43; 42,30; 41,30; 39,80; 38,30</t>
  </si>
  <si>
    <t>Ragnar Lager</t>
  </si>
  <si>
    <t>38,80; 43; 42,30; 41,20; 37,30</t>
  </si>
  <si>
    <t>Starkare lager</t>
  </si>
  <si>
    <t>Ragnarök</t>
  </si>
  <si>
    <t>38,80; 43; 42,30; 40,40; 38,30</t>
  </si>
  <si>
    <t>Angelina Lager</t>
  </si>
  <si>
    <t>38,90; 43,10</t>
  </si>
  <si>
    <t>Sigyn IPA</t>
  </si>
  <si>
    <t>38,90; 43,10; 40,80; 40,20; 39,20; 35,90</t>
  </si>
  <si>
    <t>Agitator</t>
  </si>
  <si>
    <t>The Swedish Blend</t>
  </si>
  <si>
    <t>288; 319; 299</t>
  </si>
  <si>
    <t>Just Drinks Sweden AB</t>
  </si>
  <si>
    <t>Freja IPA</t>
  </si>
  <si>
    <t>38,90; 43; 42,30; 40,40; 39; 37,40</t>
  </si>
  <si>
    <t>Cirkus APA</t>
  </si>
  <si>
    <t>38,90; 43; 42,40; 40,50; 37,40; 37,70</t>
  </si>
  <si>
    <t>Edinburgh</t>
  </si>
  <si>
    <t>Gin's Elderflower</t>
  </si>
  <si>
    <t>249; 275; 269; 249</t>
  </si>
  <si>
    <t>Bärlikör</t>
  </si>
  <si>
    <t>Bonnes Mares Grand Cru</t>
  </si>
  <si>
    <t>4799; 5299</t>
  </si>
  <si>
    <t>Marrenon</t>
  </si>
  <si>
    <t>Les Grains Pinot Noir</t>
  </si>
  <si>
    <t>99; 109; 99</t>
  </si>
  <si>
    <t>Méditerranée</t>
  </si>
  <si>
    <t>Marrenon, Vignobles en Ventoux &amp; Luberon</t>
  </si>
  <si>
    <t>Fine Brands Sweden AB</t>
  </si>
  <si>
    <t>Leone</t>
  </si>
  <si>
    <t>El rojo Sabroso</t>
  </si>
  <si>
    <t>99; 109; 119</t>
  </si>
  <si>
    <t>Vinicola Patacon</t>
  </si>
  <si>
    <t>Fairview's La Capra</t>
  </si>
  <si>
    <t>Chenin Blanc</t>
  </si>
  <si>
    <t>199; 219</t>
  </si>
  <si>
    <t>Fairview Wines Pty Ltd</t>
  </si>
  <si>
    <t>Cidraie</t>
  </si>
  <si>
    <t>Apple Organic</t>
  </si>
  <si>
    <t>19,90; 21,90; 22,40</t>
  </si>
  <si>
    <t>Torr/halvtorr</t>
  </si>
  <si>
    <t>Eclor Boissons</t>
  </si>
  <si>
    <t>Galatea AB</t>
  </si>
  <si>
    <t>19,90; 21,90</t>
  </si>
  <si>
    <t>The Galvo Garage</t>
  </si>
  <si>
    <t>Cabernet Blend</t>
  </si>
  <si>
    <t>Fleurieu</t>
  </si>
  <si>
    <t>d'Arenberg</t>
  </si>
  <si>
    <t>Pet-Nat Bianco</t>
  </si>
  <si>
    <t>Pure</t>
  </si>
  <si>
    <t>Mirabeau en Provence</t>
  </si>
  <si>
    <t>199; 219; 200; 151</t>
  </si>
  <si>
    <t>Côtes de Provence</t>
  </si>
  <si>
    <t>VCT Sweden AB</t>
  </si>
  <si>
    <t>Paul Jaboulet</t>
  </si>
  <si>
    <t>Crozes Hermitage Rouge Les Jalets</t>
  </si>
  <si>
    <t>199; 219; 239; 229</t>
  </si>
  <si>
    <t>Paul Jaboulet Ainé</t>
  </si>
  <si>
    <t>Ceraso</t>
  </si>
  <si>
    <t>San Leonino</t>
  </si>
  <si>
    <t>Castellina In Chianti</t>
  </si>
  <si>
    <t>199; 219; 239</t>
  </si>
  <si>
    <t>Chianti Classico</t>
  </si>
  <si>
    <t>Angelini Wines &amp; Estates</t>
  </si>
  <si>
    <t>Planteray</t>
  </si>
  <si>
    <t>3 Stars White Rum</t>
  </si>
  <si>
    <t>299; 329</t>
  </si>
  <si>
    <t>Ljus rom</t>
  </si>
  <si>
    <t>Peter Falke</t>
  </si>
  <si>
    <t>Signature Kanoa</t>
  </si>
  <si>
    <t>Cherry Vanilla Kaboom</t>
  </si>
  <si>
    <t>29,90; 32,90</t>
  </si>
  <si>
    <t>Cognac Bossard VS</t>
  </si>
  <si>
    <t>Cognac</t>
  </si>
  <si>
    <t>Cognac VS</t>
  </si>
  <si>
    <t>Cognac Dobbe</t>
  </si>
  <si>
    <t>Easy Rider</t>
  </si>
  <si>
    <t>Kentucky Straight Bourbon Whiskey 4 years</t>
  </si>
  <si>
    <t>499; 549</t>
  </si>
  <si>
    <t>Kentucky</t>
  </si>
  <si>
    <t>Hood River Distillers Inc</t>
  </si>
  <si>
    <t>Crooked Moon</t>
  </si>
  <si>
    <t>Double Attraction Double West Coast IPA</t>
  </si>
  <si>
    <t>39,90; 43,90; 44,90</t>
  </si>
  <si>
    <t>Crooked Moon Brewing AB</t>
  </si>
  <si>
    <t>Deuce DIPA</t>
  </si>
  <si>
    <t>39,90; 43,90; 46,90; 49,90; 51,10</t>
  </si>
  <si>
    <t>Domaine Berthet-Bondet</t>
  </si>
  <si>
    <t>Château-Chalon</t>
  </si>
  <si>
    <t>499; 549; 881; 879; 749</t>
  </si>
  <si>
    <t>Jura</t>
  </si>
  <si>
    <t>Berthet-Bondet</t>
  </si>
  <si>
    <t>Saint-Romain Blanc</t>
  </si>
  <si>
    <t>499; 549; 529; 499</t>
  </si>
  <si>
    <t>Bernkasteler Badstube Spätlese</t>
  </si>
  <si>
    <t>399; 439; 419</t>
  </si>
  <si>
    <t>Edouard Delauay</t>
  </si>
  <si>
    <t>Pommard Premier Cru Chaponnieres</t>
  </si>
  <si>
    <t>999; 1099; 999</t>
  </si>
  <si>
    <t>Edouard Delaunay</t>
  </si>
  <si>
    <t>Valentin Leflaive</t>
  </si>
  <si>
    <t>Extra Brut Blanc de Blancs</t>
  </si>
  <si>
    <t>599; 659; 649; 629</t>
  </si>
  <si>
    <t>Johan Lidby Vinhandel AB</t>
  </si>
  <si>
    <t>Tullibardine</t>
  </si>
  <si>
    <t>Sovereign</t>
  </si>
  <si>
    <t>619; 681; 680</t>
  </si>
  <si>
    <t>Aberfeldy</t>
  </si>
  <si>
    <t>13 Years Lågskär lighthouse</t>
  </si>
  <si>
    <t>999; 1099</t>
  </si>
  <si>
    <t>Domaine Trapet Père &amp; Fils</t>
  </si>
  <si>
    <t>9999; 10999</t>
  </si>
  <si>
    <t>Château Latour à Pomerol</t>
  </si>
  <si>
    <t>Jean-Pierre Mouiex</t>
  </si>
  <si>
    <t>1000; 1100; 799</t>
  </si>
  <si>
    <t>Musigny Grand Cru</t>
  </si>
  <si>
    <t>Mount Mary</t>
  </si>
  <si>
    <t>1000; 1100; 1102</t>
  </si>
  <si>
    <t>Port Phillip</t>
  </si>
  <si>
    <t>Mount Mary Vineyard</t>
  </si>
  <si>
    <t>Fable Moon</t>
  </si>
  <si>
    <t>Dailuaine #308832 11 Years</t>
  </si>
  <si>
    <t>1098; 1207; 1205</t>
  </si>
  <si>
    <t>Pendulum Spirits Ltd</t>
  </si>
  <si>
    <t>Westerhall No.2</t>
  </si>
  <si>
    <t>498; 547; 546</t>
  </si>
  <si>
    <t>15499; 16999</t>
  </si>
  <si>
    <t>Fable Bay</t>
  </si>
  <si>
    <t>Benrinnes #307954 12 Years</t>
  </si>
  <si>
    <t>1098; 1204; 1203</t>
  </si>
  <si>
    <t>Musigny Blanc Grand Cru</t>
  </si>
  <si>
    <t>10499; 11499; 10999</t>
  </si>
  <si>
    <t>Les Sentinelles</t>
  </si>
  <si>
    <t>319; 349; 335</t>
  </si>
  <si>
    <t>Vignerons des Terres Secrètes</t>
  </si>
  <si>
    <t>Pouilly Fuissé 1er Cru Sur la Roche</t>
  </si>
  <si>
    <t>Domaine Barraud</t>
  </si>
  <si>
    <t>429; 469; 459</t>
  </si>
  <si>
    <t>Mâconnais</t>
  </si>
  <si>
    <t>Meinklang Naken</t>
  </si>
  <si>
    <t>109; 119</t>
  </si>
  <si>
    <t>Meinklang</t>
  </si>
  <si>
    <t>Swheat</t>
  </si>
  <si>
    <t>22,90; 25; 24,90</t>
  </si>
  <si>
    <t>Martin Muthenthaler</t>
  </si>
  <si>
    <t>Glimmerschiefer</t>
  </si>
  <si>
    <t>699; 763; 762</t>
  </si>
  <si>
    <t>Wachau</t>
  </si>
  <si>
    <t>Paulaner</t>
  </si>
  <si>
    <t>Hefe-Weissbier</t>
  </si>
  <si>
    <t>21,90; 23,90</t>
  </si>
  <si>
    <t>Veteöl</t>
  </si>
  <si>
    <t>Hefeweizen</t>
  </si>
  <si>
    <t>Paulaner Brauerei</t>
  </si>
  <si>
    <t>Graacher Himmelreich Auslese</t>
  </si>
  <si>
    <t>549; 599</t>
  </si>
  <si>
    <t>Le Corton Grand Cru Domaine</t>
  </si>
  <si>
    <t>Domaine Bouchard Père Fils</t>
  </si>
  <si>
    <t>1649; 1799</t>
  </si>
  <si>
    <t>Montrachet Grand Cru Domaine</t>
  </si>
  <si>
    <t>10999; 11999</t>
  </si>
  <si>
    <t>Kilchoman</t>
  </si>
  <si>
    <t>Sanaig Àrd Small Batch</t>
  </si>
  <si>
    <t>595; 649; 689</t>
  </si>
  <si>
    <t>Kilchoman Distillery</t>
  </si>
  <si>
    <t>Symposion AB</t>
  </si>
  <si>
    <t>Beerbliotek</t>
  </si>
  <si>
    <t>Tokyo Unfiltered</t>
  </si>
  <si>
    <t>19,90; 21,70; 23,80</t>
  </si>
  <si>
    <t>Beerbliotek AB</t>
  </si>
  <si>
    <t>Charmes Chambertin les Mazoyères Grand Cru</t>
  </si>
  <si>
    <t>9999; 10899</t>
  </si>
  <si>
    <t>Juwel Weine</t>
  </si>
  <si>
    <t>Frühmesse Riesling Dry</t>
  </si>
  <si>
    <t>449; 489</t>
  </si>
  <si>
    <t>Fratelli Alessandria</t>
  </si>
  <si>
    <t>899; 979; 929</t>
  </si>
  <si>
    <t>2849; 3099</t>
  </si>
  <si>
    <t>799; 869; 868; 849</t>
  </si>
  <si>
    <t>7999; 8699</t>
  </si>
  <si>
    <t>Brewski</t>
  </si>
  <si>
    <t>Haddock Dry Hopped Belgian Pale Ale</t>
  </si>
  <si>
    <t>22,90; 24,90</t>
  </si>
  <si>
    <t>Belgisk ljus ale/Blonde</t>
  </si>
  <si>
    <t>Brewski Brew Aktiebolag</t>
  </si>
  <si>
    <t>The Laughing Magpie</t>
  </si>
  <si>
    <t>Shiraz Viognier</t>
  </si>
  <si>
    <t>229; 249</t>
  </si>
  <si>
    <t>Finca el Puig</t>
  </si>
  <si>
    <t>229; 249; 269</t>
  </si>
  <si>
    <t>Priorat</t>
  </si>
  <si>
    <t>Gran Clos</t>
  </si>
  <si>
    <t>Amarone A</t>
  </si>
  <si>
    <t>Alpha Zeta</t>
  </si>
  <si>
    <t>229; 249; 239</t>
  </si>
  <si>
    <t>Barlingbo</t>
  </si>
  <si>
    <t>S:ta Maria</t>
  </si>
  <si>
    <t>Gotlands län</t>
  </si>
  <si>
    <t>Gotlands kommun</t>
  </si>
  <si>
    <t>Barlingbo Bryggeri</t>
  </si>
  <si>
    <t>Barlingbo Bryggeri AB</t>
  </si>
  <si>
    <t>Duval-Leroy</t>
  </si>
  <si>
    <t>459; 499</t>
  </si>
  <si>
    <t>Piper-Heidsieck</t>
  </si>
  <si>
    <t>Piper Heidsieck</t>
  </si>
  <si>
    <t>Philipson Wine AB</t>
  </si>
  <si>
    <t>4599; 4999</t>
  </si>
  <si>
    <t>Jonata</t>
  </si>
  <si>
    <t>La Sangre de Jonata Syrah</t>
  </si>
  <si>
    <t>2299; 2499</t>
  </si>
  <si>
    <t>Musigny Vieilles Vignes Grand Cru</t>
  </si>
  <si>
    <t>11499; 12499</t>
  </si>
  <si>
    <t>Mossburn Island</t>
  </si>
  <si>
    <t>Blended Malt Whisky</t>
  </si>
  <si>
    <t>579; 629; 599; 579</t>
  </si>
  <si>
    <t>Marussia Beverages BV</t>
  </si>
  <si>
    <t>Cosmic Double IPA</t>
  </si>
  <si>
    <t>34,90; 37,90; 39,90</t>
  </si>
  <si>
    <t>Fåken Gin Classic</t>
  </si>
  <si>
    <t>349; 379; 373; 372; 353</t>
  </si>
  <si>
    <t>Drumshanbo Gunpowder</t>
  </si>
  <si>
    <t>Irish Gin</t>
  </si>
  <si>
    <t>459; 498; 481</t>
  </si>
  <si>
    <t>The Shed Distillery</t>
  </si>
  <si>
    <t>Lingari</t>
  </si>
  <si>
    <t>295; 320; 319</t>
  </si>
  <si>
    <t>Aperitifer</t>
  </si>
  <si>
    <t>Tevsjö Mill &amp; Distillery</t>
  </si>
  <si>
    <t>Tevsjö Destilleri i Järvsö AB</t>
  </si>
  <si>
    <t>Rhubarb &amp; Ginger Liqueur</t>
  </si>
  <si>
    <t>249; 270; 269; 249</t>
  </si>
  <si>
    <t>Château Bonnet</t>
  </si>
  <si>
    <t>119; 129</t>
  </si>
  <si>
    <t>Vignobles André Lurton</t>
  </si>
  <si>
    <t>Reality Distortion Field</t>
  </si>
  <si>
    <t>36,90; 40</t>
  </si>
  <si>
    <t>Torr porter och stout</t>
  </si>
  <si>
    <t>Sundbybergs kommun</t>
  </si>
  <si>
    <t>Backyard Brew</t>
  </si>
  <si>
    <t>Chopping Block</t>
  </si>
  <si>
    <t>11,90; 12,90; 11,90</t>
  </si>
  <si>
    <t>Carlsberg Supply Company Sverige AB</t>
  </si>
  <si>
    <t>Carlsberg Sverige AB</t>
  </si>
  <si>
    <t>11,90; 12,90; 11,90; 12,70; 12,50</t>
  </si>
  <si>
    <t>Chablis 1er Cru La Forêt</t>
  </si>
  <si>
    <t>Domaine Pinson</t>
  </si>
  <si>
    <t>479; 519; 499</t>
  </si>
  <si>
    <t>Chablis</t>
  </si>
  <si>
    <t>Brut Royal</t>
  </si>
  <si>
    <t>1199; 1299</t>
  </si>
  <si>
    <t>Wehlener Sonnenuhr Auslese</t>
  </si>
  <si>
    <t>Joh Joh Prüm</t>
  </si>
  <si>
    <t>599; 649</t>
  </si>
  <si>
    <t>A.D Coutelas</t>
  </si>
  <si>
    <t>Cuvée 1809</t>
  </si>
  <si>
    <t>A.D. Coutelas</t>
  </si>
  <si>
    <t>Quintet</t>
  </si>
  <si>
    <t>1200; 1300; 1302</t>
  </si>
  <si>
    <t>5999; 6499</t>
  </si>
  <si>
    <t>Vinha da Peijona</t>
  </si>
  <si>
    <t>499; 540; 539</t>
  </si>
  <si>
    <t>MDL- Vinhos Unipessoal Lda</t>
  </si>
  <si>
    <t>Buffalo Trace</t>
  </si>
  <si>
    <t>379; 410; 409</t>
  </si>
  <si>
    <t>Arcus Sweden AB</t>
  </si>
  <si>
    <t>Duality Black IPA</t>
  </si>
  <si>
    <t>36,90; 39,90</t>
  </si>
  <si>
    <t>Black IPA</t>
  </si>
  <si>
    <t>Mango Passion</t>
  </si>
  <si>
    <t>24,90; 26,90</t>
  </si>
  <si>
    <t>Langbult Steen Old Vine Chenin Blanc</t>
  </si>
  <si>
    <t>Simonsig</t>
  </si>
  <si>
    <t>249; 269; 259</t>
  </si>
  <si>
    <t>Simonsig Estate</t>
  </si>
  <si>
    <t>Bourgogne Aligoté</t>
  </si>
  <si>
    <t>Vinistella</t>
  </si>
  <si>
    <t>La Passione Parziale Appassimento</t>
  </si>
  <si>
    <t>249; 269</t>
  </si>
  <si>
    <t>Cuvée Rare</t>
  </si>
  <si>
    <t>2495; 2695</t>
  </si>
  <si>
    <t>649; 700; 699</t>
  </si>
  <si>
    <t>Heineken 0.0</t>
  </si>
  <si>
    <t>Alcohol Free</t>
  </si>
  <si>
    <t>12,30; 13,26</t>
  </si>
  <si>
    <t>Alkoholfritt</t>
  </si>
  <si>
    <t>Nederländerna</t>
  </si>
  <si>
    <t>Heineken</t>
  </si>
  <si>
    <t>Cabernet Sauvignon Australia</t>
  </si>
  <si>
    <t>219; 236; 219; 239</t>
  </si>
  <si>
    <t>South Eastern Australia</t>
  </si>
  <si>
    <t>Markowitsch</t>
  </si>
  <si>
    <t>Classic Pinot Noir</t>
  </si>
  <si>
    <t>129; 139; 129</t>
  </si>
  <si>
    <t>Burgenland</t>
  </si>
  <si>
    <t>Gerhard Markowitsch</t>
  </si>
  <si>
    <t>Vinovativa AB</t>
  </si>
  <si>
    <t>Casteloro</t>
  </si>
  <si>
    <t>Valpolicella Ripasso Organic</t>
  </si>
  <si>
    <t>129; 139; 149</t>
  </si>
  <si>
    <t>Alheit Vineyards</t>
  </si>
  <si>
    <t>Hereafter Here</t>
  </si>
  <si>
    <t>259; 279</t>
  </si>
  <si>
    <t>Corton-Charlemagne Grand Cru Domaine</t>
  </si>
  <si>
    <t>2599; 2799</t>
  </si>
  <si>
    <t>Gran Faustino I</t>
  </si>
  <si>
    <t>Gran Reserva</t>
  </si>
  <si>
    <t>649; 699</t>
  </si>
  <si>
    <t>Bodegas Faustino</t>
  </si>
  <si>
    <t>Corton-Charlemagne Grand Cru</t>
  </si>
  <si>
    <t>2599; 2799; 2699</t>
  </si>
  <si>
    <t>6499; 6999</t>
  </si>
  <si>
    <t>Lillkottens Lager</t>
  </si>
  <si>
    <t>29,90; 32,20</t>
  </si>
  <si>
    <t>Zwickel, keller- och landbier</t>
  </si>
  <si>
    <t>Jean Vidérue</t>
  </si>
  <si>
    <t>79; 85</t>
  </si>
  <si>
    <t>Urban Wines</t>
  </si>
  <si>
    <t>Urban Wines AB</t>
  </si>
  <si>
    <t>Luxardo Limoncello</t>
  </si>
  <si>
    <t>199; 214; 209</t>
  </si>
  <si>
    <t>Luxardo</t>
  </si>
  <si>
    <t>Vellinge Bryggeri</t>
  </si>
  <si>
    <t>Öresunds IPA</t>
  </si>
  <si>
    <t>27,90; 30</t>
  </si>
  <si>
    <t>Vellinge kommun</t>
  </si>
  <si>
    <t>Bonnet</t>
  </si>
  <si>
    <t>Perle Rosée Brut</t>
  </si>
  <si>
    <t>399; 429</t>
  </si>
  <si>
    <t>Alexandre Bonnet</t>
  </si>
  <si>
    <t>Motif</t>
  </si>
  <si>
    <t>Red Hills Cabernet Sauvignon</t>
  </si>
  <si>
    <t>120; 129</t>
  </si>
  <si>
    <t>Precision Wine Company</t>
  </si>
  <si>
    <t>Crucified Bunny</t>
  </si>
  <si>
    <t>26,90; 28,90; 27,90</t>
  </si>
  <si>
    <t>Amber ale</t>
  </si>
  <si>
    <t>Skny Btch</t>
  </si>
  <si>
    <t>Hard Seltzer Pear</t>
  </si>
  <si>
    <t>22,90; 24,60; 24,20; 23,90</t>
  </si>
  <si>
    <t>Torr</t>
  </si>
  <si>
    <t>Värmdö kommun</t>
  </si>
  <si>
    <t>Värmdö Bryggeri</t>
  </si>
  <si>
    <t>Savings Mat &amp; Dryck AB</t>
  </si>
  <si>
    <t>Hard Seltzer Lemon</t>
  </si>
  <si>
    <t>Hard Seltzer Raspberry</t>
  </si>
  <si>
    <t>Syrah Rosé California</t>
  </si>
  <si>
    <t>219; 235; 229</t>
  </si>
  <si>
    <t>Möja</t>
  </si>
  <si>
    <t>Viltbrännvin</t>
  </si>
  <si>
    <t>330; 354; 350; 349</t>
  </si>
  <si>
    <t>Akvavit &amp; Kryddat brännvin</t>
  </si>
  <si>
    <t>Kryddat brännvin</t>
  </si>
  <si>
    <t>Långviks Krydderi &amp; Handel</t>
  </si>
  <si>
    <t>Fojetta</t>
  </si>
  <si>
    <t>139; 149; 139; 159</t>
  </si>
  <si>
    <t>Cantina Gaffino</t>
  </si>
  <si>
    <t>Luna di Mezzanotte</t>
  </si>
  <si>
    <t>Barbera d'Alba Superiore</t>
  </si>
  <si>
    <t>139; 149; 159</t>
  </si>
  <si>
    <t>Prat D'Hores</t>
  </si>
  <si>
    <t>Blanc de Sanui</t>
  </si>
  <si>
    <t>139; 149; 179</t>
  </si>
  <si>
    <t>Costers del Segre</t>
  </si>
  <si>
    <t>Celler de Sanui</t>
  </si>
  <si>
    <t>Lauder's</t>
  </si>
  <si>
    <t>139; 149; 145</t>
  </si>
  <si>
    <t>Lauder</t>
  </si>
  <si>
    <t>Weingut Müller</t>
  </si>
  <si>
    <t>Kremstal Grüner Veltliner Vom Loess</t>
  </si>
  <si>
    <t>139; 149</t>
  </si>
  <si>
    <t>Kremstal</t>
  </si>
  <si>
    <t>White Artisan</t>
  </si>
  <si>
    <t>139; 149; 139; 129</t>
  </si>
  <si>
    <t>Rumänien</t>
  </si>
  <si>
    <t>Muntenia</t>
  </si>
  <si>
    <t>Dealul Mare</t>
  </si>
  <si>
    <t>Domeniile Sahateni</t>
  </si>
  <si>
    <t>Skandbowall AB</t>
  </si>
  <si>
    <t>Langhe Rosso Rossoluna</t>
  </si>
  <si>
    <t>279; 299; 289; 279</t>
  </si>
  <si>
    <t>Åre Bryggcompagni</t>
  </si>
  <si>
    <t>Lekatt Grisette</t>
  </si>
  <si>
    <t>27,90; 29,90</t>
  </si>
  <si>
    <t>Jämtlands län</t>
  </si>
  <si>
    <t>Åre kommun</t>
  </si>
  <si>
    <t>ÅBC Åredalens BryggCompagni AB</t>
  </si>
  <si>
    <t>Pike IPA</t>
  </si>
  <si>
    <t>Villa Matilde</t>
  </si>
  <si>
    <t>Pietrafusa Taurasi</t>
  </si>
  <si>
    <t>279; 299</t>
  </si>
  <si>
    <t>Kampanien</t>
  </si>
  <si>
    <t>Taurasi</t>
  </si>
  <si>
    <t>Inedal Zinfandel Jacob's Two Acres</t>
  </si>
  <si>
    <t>279; 299; 329</t>
  </si>
  <si>
    <t>Skagerrak</t>
  </si>
  <si>
    <t>Nordic Dry Gin</t>
  </si>
  <si>
    <t>Norge</t>
  </si>
  <si>
    <t>Arcus Norway AS</t>
  </si>
  <si>
    <t>Barolo San Lorenzo</t>
  </si>
  <si>
    <t>699; 749; 729</t>
  </si>
  <si>
    <t>L'Hospitalet de Gazin</t>
  </si>
  <si>
    <t>1400; 1500; 1872</t>
  </si>
  <si>
    <t>Château Gazin</t>
  </si>
  <si>
    <t>Banana Toffee Chocolate</t>
  </si>
  <si>
    <t>44,90; 48; 47,90</t>
  </si>
  <si>
    <t>Härryda kommun</t>
  </si>
  <si>
    <t>Borkbo-Knäppen</t>
  </si>
  <si>
    <t>Akvavit</t>
  </si>
  <si>
    <t>449; 480; 479; 504</t>
  </si>
  <si>
    <t>Tevsjö Destilleri Järvsö</t>
  </si>
  <si>
    <t>Terra dell’Oro</t>
  </si>
  <si>
    <t>Rosso</t>
  </si>
  <si>
    <t>29; 31; 30</t>
  </si>
  <si>
    <t>Kiviks Musteri</t>
  </si>
  <si>
    <t>Papp</t>
  </si>
  <si>
    <t>Terra dell'Oro</t>
  </si>
  <si>
    <t>Bianco</t>
  </si>
  <si>
    <t>Lätt &amp; Avrundat</t>
  </si>
  <si>
    <t>3649; 3899</t>
  </si>
  <si>
    <t>Lady in Red</t>
  </si>
  <si>
    <t>28; 29,90; 29</t>
  </si>
  <si>
    <t>Irländsk ale</t>
  </si>
  <si>
    <t>Solveigs</t>
  </si>
  <si>
    <t>Phyllit Pinot Noir</t>
  </si>
  <si>
    <t>399; 426</t>
  </si>
  <si>
    <t>Ambleri</t>
  </si>
  <si>
    <t>Bianco Bio</t>
  </si>
  <si>
    <t>89; 95</t>
  </si>
  <si>
    <t>Cantine Ermes Soc. Coop Agr.</t>
  </si>
  <si>
    <t>Rosso Bio</t>
  </si>
  <si>
    <t>Charles de Fère</t>
  </si>
  <si>
    <t>Blanc de Blancs Brut</t>
  </si>
  <si>
    <t>89; 95; 89</t>
  </si>
  <si>
    <t>Värmdö Akvavit</t>
  </si>
  <si>
    <t>282; 301; 298; 297</t>
  </si>
  <si>
    <t>Georg Breuer</t>
  </si>
  <si>
    <t>Sauvage Riesling</t>
  </si>
  <si>
    <t>149; 159; 149</t>
  </si>
  <si>
    <t>Promessa</t>
  </si>
  <si>
    <t>149; 159; 149; 141</t>
  </si>
  <si>
    <t>Marastoni</t>
  </si>
  <si>
    <t>Vino Nobile di Montepulciano</t>
  </si>
  <si>
    <t>149; 159</t>
  </si>
  <si>
    <t>Tenute del Cerro</t>
  </si>
  <si>
    <t>QM</t>
  </si>
  <si>
    <t>Alvarinho</t>
  </si>
  <si>
    <t>Vinho Verde</t>
  </si>
  <si>
    <t>Monção e Melgaço</t>
  </si>
  <si>
    <t>Quintas de Melgaco</t>
  </si>
  <si>
    <t>Black Stallion Napa Valley</t>
  </si>
  <si>
    <t>299; 319; 349; 269</t>
  </si>
  <si>
    <t>Black Stallion Estate Winery</t>
  </si>
  <si>
    <t>Ward Wines AB</t>
  </si>
  <si>
    <t>Moretta Wines</t>
  </si>
  <si>
    <t>Carigno del Maule</t>
  </si>
  <si>
    <t>299; 319</t>
  </si>
  <si>
    <t>Maule</t>
  </si>
  <si>
    <t>Ortúzar y Poblete produccion de vinos limitada</t>
  </si>
  <si>
    <t>Wena Wines AB</t>
  </si>
  <si>
    <t>Meerlust</t>
  </si>
  <si>
    <t>299; 319; 309</t>
  </si>
  <si>
    <t>Laphroaig</t>
  </si>
  <si>
    <t>10 Years</t>
  </si>
  <si>
    <t>Suntory Global Spirits</t>
  </si>
  <si>
    <t>Brown Ale</t>
  </si>
  <si>
    <t>29,90; 31,90</t>
  </si>
  <si>
    <t>Brown ale</t>
  </si>
  <si>
    <t>Blanco</t>
  </si>
  <si>
    <t>Hinomaru</t>
  </si>
  <si>
    <t>Craft Gin</t>
  </si>
  <si>
    <t>599; 639; 635; 629</t>
  </si>
  <si>
    <t>Kiuchi Brewery</t>
  </si>
  <si>
    <t>Akebono Unlimited AB</t>
  </si>
  <si>
    <t>Stilema Taurasi</t>
  </si>
  <si>
    <t>Mastroberardino</t>
  </si>
  <si>
    <t>749; 799; 849</t>
  </si>
  <si>
    <t>Glenfiddich</t>
  </si>
  <si>
    <t>449; 479; 459; 449</t>
  </si>
  <si>
    <t>William Grant &amp; Sons</t>
  </si>
  <si>
    <t>Xavier Vignon Arcane Premium låda x10</t>
  </si>
  <si>
    <t>6000; 6400; 6500; 6990</t>
  </si>
  <si>
    <t>Xavier Vignon</t>
  </si>
  <si>
    <t>10 flaskor à 750ml</t>
  </si>
  <si>
    <t>7499; 7999</t>
  </si>
  <si>
    <t>Dopff Brut Cuvée Julien</t>
  </si>
  <si>
    <t>92; 98; 95; 90</t>
  </si>
  <si>
    <t>Crémant d'Alsace</t>
  </si>
  <si>
    <t>Dopff au Moulin</t>
  </si>
  <si>
    <t>Ried Schön</t>
  </si>
  <si>
    <t>649; 691; 690</t>
  </si>
  <si>
    <t>15499; 16499</t>
  </si>
  <si>
    <t>Beauchamp</t>
  </si>
  <si>
    <t>Single Malt Whisky</t>
  </si>
  <si>
    <t>469; 499; 529; 499</t>
  </si>
  <si>
    <t>Les Bienheureux</t>
  </si>
  <si>
    <t>Skånska Spritfabriken</t>
  </si>
  <si>
    <t>Dry Blue Gin</t>
  </si>
  <si>
    <t>329; 350; 349; 299</t>
  </si>
  <si>
    <t>Sjöbrinkens</t>
  </si>
  <si>
    <t>Rabarber</t>
  </si>
  <si>
    <t>189; 201; 199; 222; 221</t>
  </si>
  <si>
    <t>Limoncello di Quaglia</t>
  </si>
  <si>
    <t>598; 636; 635; 487</t>
  </si>
  <si>
    <t>Antica Quaglia Distilleria srl</t>
  </si>
  <si>
    <t>Les Frondeurs</t>
  </si>
  <si>
    <t>79; 84; 79</t>
  </si>
  <si>
    <t>Cave de Crouseilles</t>
  </si>
  <si>
    <t>AUSSIE Flamingo Blush</t>
  </si>
  <si>
    <t>79; 84; 83</t>
  </si>
  <si>
    <t>El Esteco</t>
  </si>
  <si>
    <t>159; 169</t>
  </si>
  <si>
    <t>North</t>
  </si>
  <si>
    <t>Salta</t>
  </si>
  <si>
    <t>The High Trellis</t>
  </si>
  <si>
    <t>Vinos Valtuille</t>
  </si>
  <si>
    <t>La Telleria</t>
  </si>
  <si>
    <t>Kastilien-León</t>
  </si>
  <si>
    <t>Bierzo</t>
  </si>
  <si>
    <t>The Glenturret</t>
  </si>
  <si>
    <t>2022 Release 30 Years</t>
  </si>
  <si>
    <t>15990; 16990; 18990; 21990</t>
  </si>
  <si>
    <t>The Glenturret distillery</t>
  </si>
  <si>
    <t>Rewine AB</t>
  </si>
  <si>
    <t>7999; 8499; 6999</t>
  </si>
  <si>
    <t>Fåken Gin Hibiscus Botanicals</t>
  </si>
  <si>
    <t>369; 392; 384; 383; 364</t>
  </si>
  <si>
    <t>Local Hard Seltzer</t>
  </si>
  <si>
    <t>Tropical Organic</t>
  </si>
  <si>
    <t>20,90; 22,20</t>
  </si>
  <si>
    <t>Internationellt märke</t>
  </si>
  <si>
    <t>Three Towns Independent Brewers</t>
  </si>
  <si>
    <t>Cal Pla Negre</t>
  </si>
  <si>
    <t>Celler Cal Pla</t>
  </si>
  <si>
    <t>225; 239; 225; 215</t>
  </si>
  <si>
    <t>Celler Cal Pla SL.</t>
  </si>
  <si>
    <t>Prioraty Wines Stockholm</t>
  </si>
  <si>
    <t>Carte Postal by Le Grand Roi</t>
  </si>
  <si>
    <t>65; 69; 79; 95</t>
  </si>
  <si>
    <t>Les Grands Chais de France</t>
  </si>
  <si>
    <t>Majornas</t>
  </si>
  <si>
    <t>Kapardrottning</t>
  </si>
  <si>
    <t>32,90; 34,90; 35</t>
  </si>
  <si>
    <t>Majornas Bryggeri</t>
  </si>
  <si>
    <t>Majornas Bryggeri ekonomisk förening</t>
  </si>
  <si>
    <t>Pinot Noir Aristos</t>
  </si>
  <si>
    <t>Cantina Valle Isarco</t>
  </si>
  <si>
    <t>329; 349; 389</t>
  </si>
  <si>
    <t>Trentino-Alto Adige</t>
  </si>
  <si>
    <t>Alto Adige</t>
  </si>
  <si>
    <t>Dorado</t>
  </si>
  <si>
    <t>329; 349</t>
  </si>
  <si>
    <t>Vintage</t>
  </si>
  <si>
    <t>659; 699</t>
  </si>
  <si>
    <t>Corton Grand Cru</t>
  </si>
  <si>
    <t>Domaine Bonneau du Martray</t>
  </si>
  <si>
    <t>6599; 6999</t>
  </si>
  <si>
    <t>Cantina Zaccagnini</t>
  </si>
  <si>
    <t>Dal Tralcetto Pecorino</t>
  </si>
  <si>
    <t>99; 105; 99; 119</t>
  </si>
  <si>
    <t>Abruzzerna</t>
  </si>
  <si>
    <t>Terre di Chieti</t>
  </si>
  <si>
    <t>Ciccio Zaccagnini</t>
  </si>
  <si>
    <t>Edel</t>
  </si>
  <si>
    <t>99; 105</t>
  </si>
  <si>
    <t>Mikadomatsu</t>
  </si>
  <si>
    <t>Junmai-Ginjo</t>
  </si>
  <si>
    <t>169; 179</t>
  </si>
  <si>
    <t>Sake</t>
  </si>
  <si>
    <t>Matsuoka Brewery Co</t>
  </si>
  <si>
    <t>Sakeman &amp; Sakesson AB</t>
  </si>
  <si>
    <t>Nox Mistery Red</t>
  </si>
  <si>
    <t>Bodegas Pinord</t>
  </si>
  <si>
    <t>119; 126; 125</t>
  </si>
  <si>
    <t>Nox Snow White</t>
  </si>
  <si>
    <t>8499; 8999</t>
  </si>
  <si>
    <t>Domaine Bouchard Père et Fils</t>
  </si>
  <si>
    <t>3399; 3599</t>
  </si>
  <si>
    <t>Dupont Cidre</t>
  </si>
  <si>
    <t>Réserve</t>
  </si>
  <si>
    <t>209; 220,90; 219,40; 219; 199; 194,20</t>
  </si>
  <si>
    <t>Normandie</t>
  </si>
  <si>
    <t>Calvados</t>
  </si>
  <si>
    <t>Famille Dupont</t>
  </si>
  <si>
    <t>Bunny´s American Brown Ale</t>
  </si>
  <si>
    <t>29,90; 31,60</t>
  </si>
  <si>
    <t>22,90; 24,20</t>
  </si>
  <si>
    <t>Rizieri Langhe</t>
  </si>
  <si>
    <t>Arneis Arvià</t>
  </si>
  <si>
    <t>179; 189; 180</t>
  </si>
  <si>
    <t>Diano d'Alba</t>
  </si>
  <si>
    <t>Rizieri Società Agricola Semplice</t>
  </si>
  <si>
    <t>Crestit Wines AB</t>
  </si>
  <si>
    <t>Edouard Delaunay Bourgogne</t>
  </si>
  <si>
    <t>Hautes Cotes De Nuits Rouge Charmont</t>
  </si>
  <si>
    <t>359; 379</t>
  </si>
  <si>
    <t>Bourgogne Hautes Cotes De Nuits Blanc Charmont</t>
  </si>
  <si>
    <t>Caisteal Chamuis</t>
  </si>
  <si>
    <t>Island Blended Malt</t>
  </si>
  <si>
    <t>539; 569; 549; 529</t>
  </si>
  <si>
    <t>Chablis Grand Cru Les Clos</t>
  </si>
  <si>
    <t>899; 949</t>
  </si>
  <si>
    <t>Wachau Noricum</t>
  </si>
  <si>
    <t>899; 949; 948</t>
  </si>
  <si>
    <t>Altitude</t>
  </si>
  <si>
    <t>Vinho Tinto</t>
  </si>
  <si>
    <t>379; 400; 399; 449</t>
  </si>
  <si>
    <t>ADEGA MAYOR</t>
  </si>
  <si>
    <t>P&amp;P Vin AB</t>
  </si>
  <si>
    <t>Château Vieira</t>
  </si>
  <si>
    <t>Bordeaux Supérieur</t>
  </si>
  <si>
    <t>109; 115</t>
  </si>
  <si>
    <t>Société Viticole de France</t>
  </si>
  <si>
    <t>Två Feta Grisar</t>
  </si>
  <si>
    <t>Chill iN</t>
  </si>
  <si>
    <t>25,60; 27; 32; 29,40; 28; 27,70</t>
  </si>
  <si>
    <t>Två Feta Grisar AB</t>
  </si>
  <si>
    <t>Pazo de La Cuesta</t>
  </si>
  <si>
    <t>La Pastoriza</t>
  </si>
  <si>
    <t>499; 526; 525</t>
  </si>
  <si>
    <t>Vega</t>
  </si>
  <si>
    <t>Easy IPA Alkoholfri</t>
  </si>
  <si>
    <t>18,80; 19,80; 18,60; 19,90; 17,90</t>
  </si>
  <si>
    <t>Vega Bryggeri</t>
  </si>
  <si>
    <t>Vega Bryggeri AB</t>
  </si>
  <si>
    <t>Tillfälligt sortiment</t>
  </si>
  <si>
    <t>Castillo de Gredos</t>
  </si>
  <si>
    <t>Red Wine</t>
  </si>
  <si>
    <t>189; 199; 196; 195</t>
  </si>
  <si>
    <t>Bodegas Vinartis</t>
  </si>
  <si>
    <t>ISH Lime Daiquiri</t>
  </si>
  <si>
    <t>Non Alcoholic Cocktail</t>
  </si>
  <si>
    <t>18,90; 19,90; 20,40; 21,50; 20,50; 23,90</t>
  </si>
  <si>
    <t>Drinkar &amp; Cocktails</t>
  </si>
  <si>
    <t>ISH Spirits</t>
  </si>
  <si>
    <t>In the MOOD for</t>
  </si>
  <si>
    <t>Cabernet Sauvignon Reserve</t>
  </si>
  <si>
    <t>189; 199</t>
  </si>
  <si>
    <t>Perdeberg Winery</t>
  </si>
  <si>
    <t>Nya Carnegiebryggeriet</t>
  </si>
  <si>
    <t>Jack</t>
  </si>
  <si>
    <t>18,90; 19,90; 18,90</t>
  </si>
  <si>
    <t>18,90; 19,90</t>
  </si>
  <si>
    <t>Salmari Salmiak Liqueur</t>
  </si>
  <si>
    <t>El Valao</t>
  </si>
  <si>
    <t>Gavi di Gavi</t>
  </si>
  <si>
    <t>Tacchino</t>
  </si>
  <si>
    <t>189; 199; 209</t>
  </si>
  <si>
    <t>Gavi</t>
  </si>
  <si>
    <t>Azienda Agricola Tacchino</t>
  </si>
  <si>
    <t>Spearhead</t>
  </si>
  <si>
    <t>379; 399; 389</t>
  </si>
  <si>
    <t>9499; 9999</t>
  </si>
  <si>
    <t>Charmes-Chambertin</t>
  </si>
  <si>
    <t>Les Mazoyères Grand Cru</t>
  </si>
  <si>
    <t>3799; 3999</t>
  </si>
  <si>
    <t>7599; 7999</t>
  </si>
  <si>
    <t>Domaine Comtes Georges de Vogue</t>
  </si>
  <si>
    <t>Illimis</t>
  </si>
  <si>
    <t>Cinsault</t>
  </si>
  <si>
    <t>249; 262; 259</t>
  </si>
  <si>
    <t>Oevicon (Pty) Ltd</t>
  </si>
  <si>
    <t>Gardshol Wines AB</t>
  </si>
  <si>
    <t>AKiA Brygghus</t>
  </si>
  <si>
    <t>KBA Bitter</t>
  </si>
  <si>
    <t>29,40; 30,90</t>
  </si>
  <si>
    <t>Le Rosé</t>
  </si>
  <si>
    <t>Domaine de la Bargemone</t>
  </si>
  <si>
    <t>59; 62; 59</t>
  </si>
  <si>
    <t>Cave de la Bargemone</t>
  </si>
  <si>
    <t>59; 62</t>
  </si>
  <si>
    <t>Lo Bancal de Granatxa</t>
  </si>
  <si>
    <t>Sangenís i Vaqué</t>
  </si>
  <si>
    <t>275; 289; 288</t>
  </si>
  <si>
    <t>P.Lex</t>
  </si>
  <si>
    <t>Prosecco Brut</t>
  </si>
  <si>
    <t>119; 125</t>
  </si>
  <si>
    <t>Langhe Rossese Bianco</t>
  </si>
  <si>
    <t>Josetta Saffirio</t>
  </si>
  <si>
    <t>199; 209; 199; 189; 199</t>
  </si>
  <si>
    <t>Il Barone</t>
  </si>
  <si>
    <t>Ecologico Organic White</t>
  </si>
  <si>
    <t>199; 209; 205; 199</t>
  </si>
  <si>
    <t>Ruby Reserve</t>
  </si>
  <si>
    <t>199; 209</t>
  </si>
  <si>
    <t>Ruby</t>
  </si>
  <si>
    <t>Botanica</t>
  </si>
  <si>
    <t>The Mary Delany Semillon</t>
  </si>
  <si>
    <t>239; 251; 249; 248</t>
  </si>
  <si>
    <t>Cape South Coast</t>
  </si>
  <si>
    <t>Botanica Wines</t>
  </si>
  <si>
    <t>Cidraie Pear</t>
  </si>
  <si>
    <t>19,90; 20,90; 22,90; 23,90; 23,40</t>
  </si>
  <si>
    <t>CSR SA</t>
  </si>
  <si>
    <t>Mafarrico</t>
  </si>
  <si>
    <t>Minha Vinha Tinto</t>
  </si>
  <si>
    <t>399; 419</t>
  </si>
  <si>
    <t>Álvaro Martinho Dias Lopes</t>
  </si>
  <si>
    <t>Minha Vinha Branco</t>
  </si>
  <si>
    <t>Barolo Riserva Bricco Voghera</t>
  </si>
  <si>
    <t>1999; 2099; 1999</t>
  </si>
  <si>
    <t>16 Years Waypoint Series</t>
  </si>
  <si>
    <t>949; 995</t>
  </si>
  <si>
    <t>Okinawa</t>
  </si>
  <si>
    <t>Japanese Craft Gin Recipe 02</t>
  </si>
  <si>
    <t>619; 649; 635; 629; 612</t>
  </si>
  <si>
    <t>Masahiro Shuzo</t>
  </si>
  <si>
    <t>In the MOOD</t>
  </si>
  <si>
    <t>for Shiraz Cinsault</t>
  </si>
  <si>
    <t>209; 219; 207</t>
  </si>
  <si>
    <t>20,90; 21,90</t>
  </si>
  <si>
    <t>Three Towns Ind Brewers</t>
  </si>
  <si>
    <t>Dead End Soul Double NEIPA</t>
  </si>
  <si>
    <t>43,90; 46</t>
  </si>
  <si>
    <t>Ahlafors</t>
  </si>
  <si>
    <t>JubileumsIPA</t>
  </si>
  <si>
    <t>29,50; 30,90</t>
  </si>
  <si>
    <t>Ale kommun</t>
  </si>
  <si>
    <t>Ahlafors Bryggerier</t>
  </si>
  <si>
    <t>Ahlafors Bryggerier AB</t>
  </si>
  <si>
    <t>Gardo &amp; Morris</t>
  </si>
  <si>
    <t>Brut Sauvignon Blanc</t>
  </si>
  <si>
    <t>129; 135; 129</t>
  </si>
  <si>
    <t>Gardo Morris Wines</t>
  </si>
  <si>
    <t>Gardo &amp; Morris AB</t>
  </si>
  <si>
    <t>King’s Bay</t>
  </si>
  <si>
    <t>129; 135</t>
  </si>
  <si>
    <t>Öbrygd</t>
  </si>
  <si>
    <t>Old Man Lager</t>
  </si>
  <si>
    <t>22; 23</t>
  </si>
  <si>
    <t>Blekinge län</t>
  </si>
  <si>
    <t>Karlskrona kommun</t>
  </si>
  <si>
    <t>Öbrygd Hasslö AB</t>
  </si>
  <si>
    <t>Lindores Abbey</t>
  </si>
  <si>
    <t>Sweden Exclusive</t>
  </si>
  <si>
    <t>1190; 1244; 1242</t>
  </si>
  <si>
    <t>The Lindores Distilling</t>
  </si>
  <si>
    <t>Melmacsliquids AB</t>
  </si>
  <si>
    <t>Here comes the sun</t>
  </si>
  <si>
    <t>48,60; 50,80</t>
  </si>
  <si>
    <t>Grenache</t>
  </si>
  <si>
    <t>289; 302; 299; 285</t>
  </si>
  <si>
    <t>Caisteal Island</t>
  </si>
  <si>
    <t>Blended Malt 12 Years</t>
  </si>
  <si>
    <t>669; 699; 669; 649</t>
  </si>
  <si>
    <t>Societa Agricola Il Sasso</t>
  </si>
  <si>
    <t>Amarone Classico</t>
  </si>
  <si>
    <t>539; 563; 559; 565</t>
  </si>
  <si>
    <t>Societa Agricola IL Sasso di Bellamoli Diego e Stefano &amp; C. S.a.s.</t>
  </si>
  <si>
    <t>Boca</t>
  </si>
  <si>
    <t>Barbaglia</t>
  </si>
  <si>
    <t>459; 479; 489</t>
  </si>
  <si>
    <t>299; 312; 309; 305; 289; 285</t>
  </si>
  <si>
    <t>Cape Coast</t>
  </si>
  <si>
    <t>Château Tirecul</t>
  </si>
  <si>
    <t>La Gravière Les Pins</t>
  </si>
  <si>
    <t>115; 120; 119</t>
  </si>
  <si>
    <t>Monbazillac</t>
  </si>
  <si>
    <t>Bruno Bilancini El</t>
  </si>
  <si>
    <t>Clos Des Lambrays Grand Cru</t>
  </si>
  <si>
    <t>11499; 11999</t>
  </si>
  <si>
    <t>Torsbo</t>
  </si>
  <si>
    <t>300; 313; 306; 305; 269; 247</t>
  </si>
  <si>
    <t>Ulricehamns kommun</t>
  </si>
  <si>
    <t>Torsbo 5.2</t>
  </si>
  <si>
    <t>Torsbo 5.2 AB</t>
  </si>
  <si>
    <t>Passoã</t>
  </si>
  <si>
    <t>Passion Drink</t>
  </si>
  <si>
    <t>139; 145</t>
  </si>
  <si>
    <t>Lucas Bols</t>
  </si>
  <si>
    <t>Casa Marzoni</t>
  </si>
  <si>
    <t>Gran Marzoni Appassimento</t>
  </si>
  <si>
    <t>Arboretum</t>
  </si>
  <si>
    <t>279; 291; 289</t>
  </si>
  <si>
    <t>Borgogno Barolo</t>
  </si>
  <si>
    <t>699; 729; 699</t>
  </si>
  <si>
    <t>Giacomo Borgogno &amp; Figli</t>
  </si>
  <si>
    <t>6999; 7299</t>
  </si>
  <si>
    <t>Charlemagne Grand Cru</t>
  </si>
  <si>
    <t>Akita Fuji Nigori</t>
  </si>
  <si>
    <t>119; 124; 129</t>
  </si>
  <si>
    <t>Kinmon Akita Sake Brewery Co</t>
  </si>
  <si>
    <t>Nederburg</t>
  </si>
  <si>
    <t>The Brewmaster Bordeaux Blend</t>
  </si>
  <si>
    <t>239; 249; 250; 249; 239</t>
  </si>
  <si>
    <t>Nederburg Wines</t>
  </si>
  <si>
    <t>Greenwing</t>
  </si>
  <si>
    <t>239; 249; 279; 259</t>
  </si>
  <si>
    <t>Duckhorn Wine Company</t>
  </si>
  <si>
    <t>Talisker</t>
  </si>
  <si>
    <t>479; 499; 541; 482</t>
  </si>
  <si>
    <t>Diageo Sweden AB</t>
  </si>
  <si>
    <t>Wannborga</t>
  </si>
  <si>
    <t>Navy Gin</t>
  </si>
  <si>
    <t>369; 384; 370; 369; 381</t>
  </si>
  <si>
    <t>Wannborga på Öland</t>
  </si>
  <si>
    <t>Wannborga på Öland AB</t>
  </si>
  <si>
    <t>Ginnanfors</t>
  </si>
  <si>
    <t>321; 334; 326</t>
  </si>
  <si>
    <t>Pistonhead</t>
  </si>
  <si>
    <t>Cider Hallon och Svarta vinbär</t>
  </si>
  <si>
    <t>14,90; 15,50; 14,90; 14,70</t>
  </si>
  <si>
    <t>Spendrups Bryggeri</t>
  </si>
  <si>
    <t>14,90; 15,50; 14,90</t>
  </si>
  <si>
    <t>Il Seggio</t>
  </si>
  <si>
    <t>Poggio al Tesoro</t>
  </si>
  <si>
    <t>249; 259; 249</t>
  </si>
  <si>
    <t>Treudd IPA</t>
  </si>
  <si>
    <t>Waxholms Bryggeri</t>
  </si>
  <si>
    <t>24,90; 25,90; 26; 29,70; 29,60</t>
  </si>
  <si>
    <t>Vaxholm kommun</t>
  </si>
  <si>
    <t>Waxholms Bryggeri AB</t>
  </si>
  <si>
    <t>Wet City Spirits</t>
  </si>
  <si>
    <t>Gin &amp; Tonic Havtorn</t>
  </si>
  <si>
    <t>24,90; 25,90; 24,90</t>
  </si>
  <si>
    <t>Wet City Spirits AB</t>
  </si>
  <si>
    <t>Kona Brewing</t>
  </si>
  <si>
    <t>Big Wave Golden Ale</t>
  </si>
  <si>
    <t>Kona Brewing Co</t>
  </si>
  <si>
    <t>Charmes-Chambertin les Mazoyères Grand Cru</t>
  </si>
  <si>
    <t>4999; 5199</t>
  </si>
  <si>
    <t>Graacher Himmelreich Spätlese</t>
  </si>
  <si>
    <t>499; 519</t>
  </si>
  <si>
    <t>Riesling Returns</t>
  </si>
  <si>
    <t>Alcohol free</t>
  </si>
  <si>
    <t>76; 79</t>
  </si>
  <si>
    <t>Vitt</t>
  </si>
  <si>
    <t>Cantina Zaccagnini Rosso</t>
  </si>
  <si>
    <t>Non Alcoholic</t>
  </si>
  <si>
    <t>76; 79; 75</t>
  </si>
  <si>
    <t>Rött</t>
  </si>
  <si>
    <t>Hammarby Sjöstad Destilleri</t>
  </si>
  <si>
    <t>Orgnc Vodka</t>
  </si>
  <si>
    <t>230; 239</t>
  </si>
  <si>
    <t>Hammarby Sjöstad Destilleri AB</t>
  </si>
  <si>
    <t>Gustave Lorentz</t>
  </si>
  <si>
    <t>Riesling Réserve</t>
  </si>
  <si>
    <t>259; 269; 259; 249</t>
  </si>
  <si>
    <t>Philippe De Nantheuil</t>
  </si>
  <si>
    <t>259; 269; 259</t>
  </si>
  <si>
    <t>CVC NF</t>
  </si>
  <si>
    <t>Nelex Beverage AB</t>
  </si>
  <si>
    <t>Charles Fox</t>
  </si>
  <si>
    <t>Cuvée Elgin Vintage Brut</t>
  </si>
  <si>
    <t>339; 352; 349; 325; 319; 305</t>
  </si>
  <si>
    <t>Charles Fox Wine Estate</t>
  </si>
  <si>
    <t>Arboga</t>
  </si>
  <si>
    <t>Originalet</t>
  </si>
  <si>
    <t>10,50; 10,90</t>
  </si>
  <si>
    <t>Life hack</t>
  </si>
  <si>
    <t>28,90; 30; 29,90; 30</t>
  </si>
  <si>
    <t>AUSSIE Kangarouge</t>
  </si>
  <si>
    <t>79; 82; 79</t>
  </si>
  <si>
    <t>Saskia</t>
  </si>
  <si>
    <t>Miles Mossop Wines</t>
  </si>
  <si>
    <t>319; 331; 329; 319</t>
  </si>
  <si>
    <t>Påsköl</t>
  </si>
  <si>
    <t>26,90; 27,90; 25,90; 26,90</t>
  </si>
  <si>
    <t>Johnnie Walker</t>
  </si>
  <si>
    <t>Red Label</t>
  </si>
  <si>
    <t>269; 279; 275; 269</t>
  </si>
  <si>
    <t>John Walker</t>
  </si>
  <si>
    <t>Prego</t>
  </si>
  <si>
    <t>26,90; 27,90</t>
  </si>
  <si>
    <t>Smögenbryggar'n</t>
  </si>
  <si>
    <t>Harry</t>
  </si>
  <si>
    <t>26,90; 27,90; 26,90; 25,90</t>
  </si>
  <si>
    <t>Sotenäs kommun</t>
  </si>
  <si>
    <t>Smögen Ale</t>
  </si>
  <si>
    <t>Smögen Ale AB</t>
  </si>
  <si>
    <t>Bisci</t>
  </si>
  <si>
    <t>Verdicchio di Matelica</t>
  </si>
  <si>
    <t>189; 196; 195</t>
  </si>
  <si>
    <t>Picky Drinks AB</t>
  </si>
  <si>
    <t>Brut Royal Rosé</t>
  </si>
  <si>
    <t>549; 569; 599</t>
  </si>
  <si>
    <t>Garnacha Tintorera Prefiloxérica</t>
  </si>
  <si>
    <t>549; 569; 568</t>
  </si>
  <si>
    <t>Ceps Nous</t>
  </si>
  <si>
    <t>Celler Pasanau</t>
  </si>
  <si>
    <t>250; 259; 249; 239</t>
  </si>
  <si>
    <t>Pasanau</t>
  </si>
  <si>
    <t>Viatge al Priorat</t>
  </si>
  <si>
    <t>Celler Joan Simó</t>
  </si>
  <si>
    <t>Källingen</t>
  </si>
  <si>
    <t>27,90; 28,90; 29,90</t>
  </si>
  <si>
    <t>Secateurs Red Blend</t>
  </si>
  <si>
    <t>Badenhorst</t>
  </si>
  <si>
    <t>169; 175; 169; 165; 159; 149; 159</t>
  </si>
  <si>
    <t>Badenhorst Family Wines</t>
  </si>
  <si>
    <t>Secateurs Chenin Blanc</t>
  </si>
  <si>
    <t>Eméra</t>
  </si>
  <si>
    <t>199; 206; 205</t>
  </si>
  <si>
    <t>Claudio Quarta Vignaiolo</t>
  </si>
  <si>
    <t>Kaffak AB</t>
  </si>
  <si>
    <t>The Open Royal Portrush</t>
  </si>
  <si>
    <t>569; 589</t>
  </si>
  <si>
    <t>Ölsbo Gårdsbryggeri</t>
  </si>
  <si>
    <t>Fläder Brännvin</t>
  </si>
  <si>
    <t>199; 206; 199</t>
  </si>
  <si>
    <t>Östergötlands län</t>
  </si>
  <si>
    <t>Linköpings kommun</t>
  </si>
  <si>
    <t>Ölsbo Gårdsbryggeri AB</t>
  </si>
  <si>
    <t>Chavin Florentina Red Fruit Organic</t>
  </si>
  <si>
    <t>57; 59</t>
  </si>
  <si>
    <t>Mousserande</t>
  </si>
  <si>
    <t>Övrigt</t>
  </si>
  <si>
    <t>Domaines Pierre Chavin</t>
  </si>
  <si>
    <t>Añejo 7</t>
  </si>
  <si>
    <t>579; 599</t>
  </si>
  <si>
    <t>Sockerbrukets Porter</t>
  </si>
  <si>
    <t>28,90; 29,90</t>
  </si>
  <si>
    <t>Femti Starkpilsner</t>
  </si>
  <si>
    <t>28,90; 29,90; 32,90</t>
  </si>
  <si>
    <t>Canebbio Langhe Nebbiolo</t>
  </si>
  <si>
    <t>Cagliero</t>
  </si>
  <si>
    <t>289; 299; 289</t>
  </si>
  <si>
    <t>La Creu</t>
  </si>
  <si>
    <t>289; 299; 359; 349</t>
  </si>
  <si>
    <t>Can Bas Domini Vinicola</t>
  </si>
  <si>
    <t>Stockholms Bränneri</t>
  </si>
  <si>
    <t>Pink Gin</t>
  </si>
  <si>
    <t>319; 330; 329</t>
  </si>
  <si>
    <t>Stockholms Bränneri AB</t>
  </si>
  <si>
    <t>Kupela</t>
  </si>
  <si>
    <t>Basque Cider Demi-Sec</t>
  </si>
  <si>
    <t>29,90; 30,90; 30,80</t>
  </si>
  <si>
    <t>Egarri S.A.S</t>
  </si>
  <si>
    <t>Chablis Premier Cru</t>
  </si>
  <si>
    <t>Grande Cuvée</t>
  </si>
  <si>
    <t>299; 309; 299</t>
  </si>
  <si>
    <t>La Chablisienne</t>
  </si>
  <si>
    <t>Black Tears</t>
  </si>
  <si>
    <t>Superdry Rum</t>
  </si>
  <si>
    <t>Kuba</t>
  </si>
  <si>
    <t>The Island Rum Company AS</t>
  </si>
  <si>
    <t>Jämtlands Bryggeri</t>
  </si>
  <si>
    <t>Hell</t>
  </si>
  <si>
    <t>30; 31</t>
  </si>
  <si>
    <t>Bräcke kommun</t>
  </si>
  <si>
    <t>Jämtlands Bryggeri AB</t>
  </si>
  <si>
    <t>Huldra</t>
  </si>
  <si>
    <t>5999; 6199</t>
  </si>
  <si>
    <t>Great Notion Brewing</t>
  </si>
  <si>
    <t>Double Fudge Coconut Brownie</t>
  </si>
  <si>
    <t>169,40; 175</t>
  </si>
  <si>
    <t>BeerDeer AB</t>
  </si>
  <si>
    <t>Reserve Brut MCC</t>
  </si>
  <si>
    <t>279; 288; 285; 266; 265; 259; 249; 247</t>
  </si>
  <si>
    <t>Young Spirits Company Ltd</t>
  </si>
  <si>
    <t>Ferg &amp; Harris Speyside Single Malt Whisky 12 years PX Finish</t>
  </si>
  <si>
    <t>1215; 1254; 1252</t>
  </si>
  <si>
    <t>Värmdö Summer Breeze</t>
  </si>
  <si>
    <t>21,90; 22,60</t>
  </si>
  <si>
    <t>Värmdö Bryggeri AB</t>
  </si>
  <si>
    <t>Ombibulous</t>
  </si>
  <si>
    <t>349; 360</t>
  </si>
  <si>
    <t>Twister</t>
  </si>
  <si>
    <t>34,90; 36; 35,30</t>
  </si>
  <si>
    <t>Sabiona Sylvaner</t>
  </si>
  <si>
    <t>319; 329; 369</t>
  </si>
  <si>
    <t>Reserve Brut Rosé</t>
  </si>
  <si>
    <t>289; 298; 295; 275; 269; 259; 257</t>
  </si>
  <si>
    <t>Bluegrass Bathtub Gin</t>
  </si>
  <si>
    <t>HellCroft</t>
  </si>
  <si>
    <t>290; 299</t>
  </si>
  <si>
    <t>Hellcroft AB</t>
  </si>
  <si>
    <t>Pineapple Weed Bathtub Gin</t>
  </si>
  <si>
    <t>Sichuan Bathtub Gin</t>
  </si>
  <si>
    <t>Glen Scotia</t>
  </si>
  <si>
    <t>Single Malt 25 Years</t>
  </si>
  <si>
    <t>6199; 6390</t>
  </si>
  <si>
    <t>Aberlour</t>
  </si>
  <si>
    <t>Casg Annamh</t>
  </si>
  <si>
    <t>649; 669; 649</t>
  </si>
  <si>
    <t>Chivas Brothers</t>
  </si>
  <si>
    <t>S:t Eriks</t>
  </si>
  <si>
    <t>16,40; 16,90; 17,90</t>
  </si>
  <si>
    <t>S:t Eriks Bryggeri</t>
  </si>
  <si>
    <t>16,40; 16,90</t>
  </si>
  <si>
    <t>Flowergirl Albarino</t>
  </si>
  <si>
    <t>269; 277; 275; 269; 267</t>
  </si>
  <si>
    <t>For Peat's Sake</t>
  </si>
  <si>
    <t>135; 139; 140; 139</t>
  </si>
  <si>
    <t>Bruce Castle Ltd</t>
  </si>
  <si>
    <t>Nik Weis</t>
  </si>
  <si>
    <t>Urban Riesling</t>
  </si>
  <si>
    <t>135; 139</t>
  </si>
  <si>
    <t>Weingut Nik Weis</t>
  </si>
  <si>
    <t>Micke Pinot Noir</t>
  </si>
  <si>
    <t>999; 1028</t>
  </si>
  <si>
    <t>Chianti Classico Riserva</t>
  </si>
  <si>
    <t>Lilliano</t>
  </si>
  <si>
    <t>349; 359; 369</t>
  </si>
  <si>
    <t>Tenuta di Lilliano</t>
  </si>
  <si>
    <t>Pomsi</t>
  </si>
  <si>
    <t>Äpplecider</t>
  </si>
  <si>
    <t>34,90; 35,90; 34,90</t>
  </si>
  <si>
    <t>Pomsi Cider</t>
  </si>
  <si>
    <t>Shinobu</t>
  </si>
  <si>
    <t>Pure Malt Whisky Mizunara Oak Finish</t>
  </si>
  <si>
    <t>699; 719; 715; 709; 700</t>
  </si>
  <si>
    <t>Shinobu Distillery</t>
  </si>
  <si>
    <t>Crooked Moon Brewing</t>
  </si>
  <si>
    <t>Friendly Reminder Hazy Pale Ale</t>
  </si>
  <si>
    <t>35,90; 36,90; 37</t>
  </si>
  <si>
    <t>Fragile West Cost Pale Ale</t>
  </si>
  <si>
    <t>35,90; 36,90</t>
  </si>
  <si>
    <t>CARM</t>
  </si>
  <si>
    <t>109; 112; 110; 109</t>
  </si>
  <si>
    <t>CARM - Casa Agricola Roboredo Madeira SA</t>
  </si>
  <si>
    <t>Damilano</t>
  </si>
  <si>
    <t>Barbera d'Asti</t>
  </si>
  <si>
    <t>219; 225; 220; 219; 225; 189</t>
  </si>
  <si>
    <t>Gérard Bertrand</t>
  </si>
  <si>
    <t>Château L'Hospitalet La Réserve Rouge</t>
  </si>
  <si>
    <t>219; 225; 219</t>
  </si>
  <si>
    <t>La Clape</t>
  </si>
  <si>
    <t>Peruvian Snow Fruited Sour</t>
  </si>
  <si>
    <t>36,90; 37,90</t>
  </si>
  <si>
    <t>Cederberg</t>
  </si>
  <si>
    <t>Bukettraube</t>
  </si>
  <si>
    <t>189; 194; 189; 179</t>
  </si>
  <si>
    <t>Cederberg Private Cellar</t>
  </si>
  <si>
    <t>Jakobsson och Söderström AB</t>
  </si>
  <si>
    <t>Merlot Shiraz</t>
  </si>
  <si>
    <t>76; 78; 74; 73</t>
  </si>
  <si>
    <t>Tropical</t>
  </si>
  <si>
    <t>38; 39</t>
  </si>
  <si>
    <t>Poire Williams Päron</t>
  </si>
  <si>
    <t>269; 276</t>
  </si>
  <si>
    <t>Valpolicella Classico Superiore</t>
  </si>
  <si>
    <t>309; 317; 315</t>
  </si>
  <si>
    <t>Chavin Spritz</t>
  </si>
  <si>
    <t>39; 40</t>
  </si>
  <si>
    <t>Strandäng</t>
  </si>
  <si>
    <t>395; 405; 396; 395</t>
  </si>
  <si>
    <t>Åhus Vingård</t>
  </si>
  <si>
    <t>Åhus 57:5 AB</t>
  </si>
  <si>
    <t>Hallon</t>
  </si>
  <si>
    <t>199; 204; 199</t>
  </si>
  <si>
    <t>Cibonne</t>
  </si>
  <si>
    <t>Tentations</t>
  </si>
  <si>
    <t>239; 245; 239; 229; 219</t>
  </si>
  <si>
    <t>Clos Cibonne</t>
  </si>
  <si>
    <t>Robert Rask Vinhandel</t>
  </si>
  <si>
    <t>En Aleigen Brewery</t>
  </si>
  <si>
    <t>Witbier Attack</t>
  </si>
  <si>
    <t>28; 28,70</t>
  </si>
  <si>
    <t>Witbier</t>
  </si>
  <si>
    <t>En Aleigen Brewery AB</t>
  </si>
  <si>
    <t>Moët &amp; Chandon</t>
  </si>
  <si>
    <t>Brut Impérial</t>
  </si>
  <si>
    <t>1199; 1229; 1199; 1159</t>
  </si>
  <si>
    <t>Moët Hennessy Sverige AB</t>
  </si>
  <si>
    <t>Black Oystercatcher</t>
  </si>
  <si>
    <t>245; 251; 249; 229; 255; 235; 219; 217</t>
  </si>
  <si>
    <t>Black Oystercatcher Winery</t>
  </si>
  <si>
    <t>33; 33,80; 33,40</t>
  </si>
  <si>
    <t>Mild</t>
  </si>
  <si>
    <t>Christmas Shilling</t>
  </si>
  <si>
    <t>33; 33,80</t>
  </si>
  <si>
    <t>Skotsk ale</t>
  </si>
  <si>
    <t>Irish Coffee glögg</t>
  </si>
  <si>
    <t>249; 255; 254</t>
  </si>
  <si>
    <t>Sacrantino</t>
  </si>
  <si>
    <t>Montefalco Sagrantino</t>
  </si>
  <si>
    <t>419; 429; 459</t>
  </si>
  <si>
    <t>Umbrien</t>
  </si>
  <si>
    <t>Sagrantino di Montefalco</t>
  </si>
  <si>
    <t>Cantina Fratelli Pardi</t>
  </si>
  <si>
    <t>Lelie van Saron</t>
  </si>
  <si>
    <t>295; 302; 299</t>
  </si>
  <si>
    <t>Hemel-en-Aarde Valley</t>
  </si>
  <si>
    <t>Natasha Williams Signature Wines</t>
  </si>
  <si>
    <t>Botanica Big Flower</t>
  </si>
  <si>
    <t>Cabernet Franc</t>
  </si>
  <si>
    <t>255; 261; 259; 249</t>
  </si>
  <si>
    <t>Halmstad Crush Mango Passion</t>
  </si>
  <si>
    <t>Alkoholfri</t>
  </si>
  <si>
    <t>12,90; 13,20</t>
  </si>
  <si>
    <t>Cider &amp; Blanddryck</t>
  </si>
  <si>
    <t>Krönleins</t>
  </si>
  <si>
    <t>Krönleins Bryggeri AB</t>
  </si>
  <si>
    <t>Den lilla svarta</t>
  </si>
  <si>
    <t>39; 39,90</t>
  </si>
  <si>
    <t>Côtes du Rhône Villages</t>
  </si>
  <si>
    <t>Cuvée Marion Papin</t>
  </si>
  <si>
    <t>87; 89; 95</t>
  </si>
  <si>
    <t>Svenska Sprit</t>
  </si>
  <si>
    <t>Patronens Punsch</t>
  </si>
  <si>
    <t>263; 269; 266</t>
  </si>
  <si>
    <t>Punsch</t>
  </si>
  <si>
    <t>Saturnus Glögg Havtorn</t>
  </si>
  <si>
    <t>45; 46; 49</t>
  </si>
  <si>
    <t>Glögg &amp; andra juldrycker</t>
  </si>
  <si>
    <t>Glögg</t>
  </si>
  <si>
    <t>Saturnus</t>
  </si>
  <si>
    <t>Säsong</t>
  </si>
  <si>
    <t>La Bri</t>
  </si>
  <si>
    <t>275; 281; 279</t>
  </si>
  <si>
    <t>La Bri Wines Pty Ltd</t>
  </si>
  <si>
    <t>Château Coutet</t>
  </si>
  <si>
    <t>Saint-Emilion Grand Cru</t>
  </si>
  <si>
    <t>599; 612; 611</t>
  </si>
  <si>
    <t>VIGNOBLES DAVID BEAULIEU</t>
  </si>
  <si>
    <t>Bonollo</t>
  </si>
  <si>
    <t>Of Grappa Amarone Barrique</t>
  </si>
  <si>
    <t>975; 996; 995; 1100</t>
  </si>
  <si>
    <t>Distillerie Bonollo Umberto</t>
  </si>
  <si>
    <t>Päron Likör</t>
  </si>
  <si>
    <t>280; 286; 279</t>
  </si>
  <si>
    <t>MelonCooler</t>
  </si>
  <si>
    <t>28,70; 29,30; 28,70</t>
  </si>
  <si>
    <t>Cascina Massara</t>
  </si>
  <si>
    <t>479; 489; 519; 529</t>
  </si>
  <si>
    <t>Magna Terra</t>
  </si>
  <si>
    <t>Chianti</t>
  </si>
  <si>
    <t>195; 199;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</si>
</sst>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95"/>
  <sheetViews>
    <sheetView tabSelected="1" workbookViewId="0">
      <selection activeCell="I2" sqref="I2"/>
    </sheetView>
  </sheetViews>
  <sheetFormatPr defaultRowHeight="14.4" x14ac:dyDescent="0.3"/>
  <cols>
    <col min="7" max="7" width="26.6640625" customWidth="1"/>
    <col min="8" max="8" width="37.109375" customWidth="1"/>
    <col min="9" max="9" width="10" customWidth="1"/>
    <col min="10" max="10" width="16" customWidth="1"/>
    <col min="11" max="11" width="14.5546875" customWidth="1"/>
    <col min="12" max="12" width="12.21875" customWidth="1"/>
    <col min="13" max="13" width="15.77734375" customWidth="1"/>
    <col min="18" max="18" width="10.5546875" customWidth="1"/>
    <col min="19" max="19" width="9.33203125" customWidth="1"/>
  </cols>
  <sheetData>
    <row r="1" spans="1:3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x14ac:dyDescent="0.3">
      <c r="A2" s="1">
        <v>5133801</v>
      </c>
      <c r="B2" s="1">
        <v>75.34</v>
      </c>
      <c r="C2" s="1">
        <v>36</v>
      </c>
      <c r="D2" s="1">
        <v>146</v>
      </c>
      <c r="E2" s="1" t="s">
        <v>34</v>
      </c>
      <c r="F2" s="1">
        <v>6</v>
      </c>
      <c r="G2" s="1" t="s">
        <v>35</v>
      </c>
      <c r="H2" s="1" t="s">
        <v>36</v>
      </c>
      <c r="I2" s="1" t="str">
        <f>HYPERLINK("https://www.systembolaget.se/produkt/vin/individo-5133801/","https://www.systembolaget.se/produkt/vin/individo-5133801/")</f>
        <v>https://www.systembolaget.se/produkt/vin/individo-5133801/</v>
      </c>
      <c r="J2" s="1">
        <v>75.17</v>
      </c>
      <c r="K2" s="1">
        <v>75.34</v>
      </c>
      <c r="L2" s="2">
        <v>45444</v>
      </c>
      <c r="M2" s="1" t="s">
        <v>37</v>
      </c>
      <c r="N2" s="1">
        <v>2.81</v>
      </c>
      <c r="O2" s="1">
        <v>750</v>
      </c>
      <c r="P2" s="1">
        <v>13.5</v>
      </c>
      <c r="Q2" s="1" t="s">
        <v>38</v>
      </c>
      <c r="R2" s="1" t="s">
        <v>39</v>
      </c>
      <c r="S2" s="1"/>
      <c r="T2" s="1"/>
      <c r="U2" s="1" t="s">
        <v>40</v>
      </c>
      <c r="V2" s="1"/>
      <c r="W2" s="1"/>
      <c r="X2" s="1" t="s">
        <v>41</v>
      </c>
      <c r="Y2" s="1" t="s">
        <v>42</v>
      </c>
      <c r="Z2" s="1" t="s">
        <v>43</v>
      </c>
      <c r="AA2" s="1">
        <v>2021</v>
      </c>
      <c r="AB2" s="1" t="s">
        <v>44</v>
      </c>
      <c r="AC2" s="1" t="s">
        <v>45</v>
      </c>
      <c r="AD2" s="1" t="s">
        <v>46</v>
      </c>
      <c r="AE2" s="1" t="s">
        <v>43</v>
      </c>
      <c r="AF2" s="1"/>
      <c r="AG2" s="1" t="s">
        <v>43</v>
      </c>
      <c r="AH2" s="2">
        <v>44844</v>
      </c>
    </row>
    <row r="3" spans="1:34" x14ac:dyDescent="0.3">
      <c r="A3" s="1">
        <v>5136001</v>
      </c>
      <c r="B3" s="1">
        <v>75.34</v>
      </c>
      <c r="C3" s="1">
        <v>36</v>
      </c>
      <c r="D3" s="1">
        <v>146</v>
      </c>
      <c r="E3" s="1" t="s">
        <v>34</v>
      </c>
      <c r="F3" s="1">
        <v>6</v>
      </c>
      <c r="G3" s="1" t="s">
        <v>35</v>
      </c>
      <c r="H3" s="1" t="s">
        <v>47</v>
      </c>
      <c r="I3" s="1" t="str">
        <f>HYPERLINK("https://www.systembolaget.se/produkt/vin/individo-5136001/","https://www.systembolaget.se/produkt/vin/individo-5136001/")</f>
        <v>https://www.systembolaget.se/produkt/vin/individo-5136001/</v>
      </c>
      <c r="J3" s="1">
        <v>75.17</v>
      </c>
      <c r="K3" s="1">
        <v>75.34</v>
      </c>
      <c r="L3" s="2">
        <v>45444</v>
      </c>
      <c r="M3" s="1" t="s">
        <v>37</v>
      </c>
      <c r="N3" s="1">
        <v>2.81</v>
      </c>
      <c r="O3" s="1">
        <v>750</v>
      </c>
      <c r="P3" s="1">
        <v>13.5</v>
      </c>
      <c r="Q3" s="1" t="s">
        <v>38</v>
      </c>
      <c r="R3" s="1" t="s">
        <v>39</v>
      </c>
      <c r="S3" s="1"/>
      <c r="T3" s="1"/>
      <c r="U3" s="1" t="s">
        <v>40</v>
      </c>
      <c r="V3" s="1"/>
      <c r="W3" s="1"/>
      <c r="X3" s="1" t="s">
        <v>41</v>
      </c>
      <c r="Y3" s="1" t="s">
        <v>42</v>
      </c>
      <c r="Z3" s="1" t="s">
        <v>43</v>
      </c>
      <c r="AA3" s="1">
        <v>2021</v>
      </c>
      <c r="AB3" s="1" t="s">
        <v>44</v>
      </c>
      <c r="AC3" s="1" t="s">
        <v>45</v>
      </c>
      <c r="AD3" s="1" t="s">
        <v>46</v>
      </c>
      <c r="AE3" s="1" t="s">
        <v>43</v>
      </c>
      <c r="AF3" s="1"/>
      <c r="AG3" s="1" t="s">
        <v>43</v>
      </c>
      <c r="AH3" s="2">
        <v>44844</v>
      </c>
    </row>
    <row r="4" spans="1:34" x14ac:dyDescent="0.3">
      <c r="A4" s="1">
        <v>5128201</v>
      </c>
      <c r="B4" s="1">
        <v>75.34</v>
      </c>
      <c r="C4" s="1">
        <v>36</v>
      </c>
      <c r="D4" s="1">
        <v>146</v>
      </c>
      <c r="E4" s="1" t="s">
        <v>34</v>
      </c>
      <c r="F4" s="1">
        <v>6</v>
      </c>
      <c r="G4" s="1" t="s">
        <v>35</v>
      </c>
      <c r="H4" s="1" t="s">
        <v>48</v>
      </c>
      <c r="I4" s="1" t="str">
        <f>HYPERLINK("https://www.systembolaget.se/produkt/vin/individo-5128201/","https://www.systembolaget.se/produkt/vin/individo-5128201/")</f>
        <v>https://www.systembolaget.se/produkt/vin/individo-5128201/</v>
      </c>
      <c r="J4" s="1">
        <v>75.17</v>
      </c>
      <c r="K4" s="1">
        <v>75.34</v>
      </c>
      <c r="L4" s="2">
        <v>45444</v>
      </c>
      <c r="M4" s="1" t="s">
        <v>37</v>
      </c>
      <c r="N4" s="1">
        <v>2.71</v>
      </c>
      <c r="O4" s="1">
        <v>750</v>
      </c>
      <c r="P4" s="1">
        <v>13</v>
      </c>
      <c r="Q4" s="1" t="s">
        <v>38</v>
      </c>
      <c r="R4" s="1" t="s">
        <v>39</v>
      </c>
      <c r="S4" s="1"/>
      <c r="T4" s="1"/>
      <c r="U4" s="1" t="s">
        <v>40</v>
      </c>
      <c r="V4" s="1"/>
      <c r="W4" s="1"/>
      <c r="X4" s="1" t="s">
        <v>41</v>
      </c>
      <c r="Y4" s="1" t="s">
        <v>42</v>
      </c>
      <c r="Z4" s="1" t="s">
        <v>43</v>
      </c>
      <c r="AA4" s="1">
        <v>2021</v>
      </c>
      <c r="AB4" s="1" t="s">
        <v>44</v>
      </c>
      <c r="AC4" s="1" t="s">
        <v>45</v>
      </c>
      <c r="AD4" s="1" t="s">
        <v>46</v>
      </c>
      <c r="AE4" s="1" t="s">
        <v>43</v>
      </c>
      <c r="AF4" s="1"/>
      <c r="AG4" s="1" t="s">
        <v>43</v>
      </c>
      <c r="AH4" s="2">
        <v>44844</v>
      </c>
    </row>
    <row r="5" spans="1:34" x14ac:dyDescent="0.3">
      <c r="A5" s="1">
        <v>5659101</v>
      </c>
      <c r="B5" s="1">
        <v>61.14</v>
      </c>
      <c r="C5" s="1">
        <v>89</v>
      </c>
      <c r="D5" s="1">
        <v>229</v>
      </c>
      <c r="E5" s="1" t="s">
        <v>43</v>
      </c>
      <c r="F5" s="1">
        <v>0</v>
      </c>
      <c r="G5" s="1" t="s">
        <v>49</v>
      </c>
      <c r="H5" s="1" t="s">
        <v>50</v>
      </c>
      <c r="I5" s="1" t="str">
        <f>HYPERLINK("https://www.systembolaget.se/produkt/vin/medici-ermete-5659101/","https://www.systembolaget.se/produkt/vin/medici-ermete-5659101/")</f>
        <v>https://www.systembolaget.se/produkt/vin/medici-ermete-5659101/</v>
      </c>
      <c r="J5" s="1">
        <v>55.28</v>
      </c>
      <c r="K5" s="1">
        <v>61.14</v>
      </c>
      <c r="L5" s="2">
        <v>45389</v>
      </c>
      <c r="M5" s="1" t="s">
        <v>51</v>
      </c>
      <c r="N5" s="1">
        <v>0.97</v>
      </c>
      <c r="O5" s="1">
        <v>750</v>
      </c>
      <c r="P5" s="1">
        <v>11.5</v>
      </c>
      <c r="Q5" s="1" t="s">
        <v>38</v>
      </c>
      <c r="R5" s="1" t="s">
        <v>52</v>
      </c>
      <c r="S5" s="1"/>
      <c r="T5" s="1"/>
      <c r="U5" s="1" t="s">
        <v>53</v>
      </c>
      <c r="V5" s="1" t="s">
        <v>54</v>
      </c>
      <c r="W5" s="1" t="s">
        <v>55</v>
      </c>
      <c r="X5" s="1" t="s">
        <v>56</v>
      </c>
      <c r="Y5" s="1" t="s">
        <v>57</v>
      </c>
      <c r="Z5" s="1" t="s">
        <v>43</v>
      </c>
      <c r="AA5" s="1">
        <v>2021</v>
      </c>
      <c r="AB5" s="1" t="s">
        <v>44</v>
      </c>
      <c r="AC5" s="1" t="s">
        <v>45</v>
      </c>
      <c r="AD5" s="1" t="s">
        <v>43</v>
      </c>
      <c r="AE5" s="1" t="s">
        <v>43</v>
      </c>
      <c r="AF5" s="1"/>
      <c r="AG5" s="1" t="s">
        <v>43</v>
      </c>
      <c r="AH5" s="2">
        <v>44662</v>
      </c>
    </row>
    <row r="6" spans="1:34" x14ac:dyDescent="0.3">
      <c r="A6" s="1">
        <v>7629901</v>
      </c>
      <c r="B6" s="1">
        <v>60.24</v>
      </c>
      <c r="C6" s="1">
        <v>99</v>
      </c>
      <c r="D6" s="1">
        <v>249</v>
      </c>
      <c r="E6" s="1" t="s">
        <v>43</v>
      </c>
      <c r="F6" s="1">
        <v>0</v>
      </c>
      <c r="G6" s="1" t="s">
        <v>58</v>
      </c>
      <c r="H6" s="1" t="s">
        <v>59</v>
      </c>
      <c r="I6" s="1" t="str">
        <f>HYPERLINK("https://www.systembolaget.se/produkt/vin/pet-nat-rose-7629901/","https://www.systembolaget.se/produkt/vin/pet-nat-rose-7629901/")</f>
        <v>https://www.systembolaget.se/produkt/vin/pet-nat-rose-7629901/</v>
      </c>
      <c r="J6" s="1">
        <v>60.24</v>
      </c>
      <c r="K6" s="1">
        <v>60.24</v>
      </c>
      <c r="L6" s="2">
        <v>45389</v>
      </c>
      <c r="M6" s="1" t="s">
        <v>60</v>
      </c>
      <c r="N6" s="1">
        <v>0.83</v>
      </c>
      <c r="O6" s="1">
        <v>750</v>
      </c>
      <c r="P6" s="1">
        <v>11</v>
      </c>
      <c r="Q6" s="1" t="s">
        <v>38</v>
      </c>
      <c r="R6" s="1" t="s">
        <v>61</v>
      </c>
      <c r="S6" s="1" t="s">
        <v>62</v>
      </c>
      <c r="T6" s="1"/>
      <c r="U6" s="1" t="s">
        <v>53</v>
      </c>
      <c r="V6" s="1" t="s">
        <v>63</v>
      </c>
      <c r="W6" s="1"/>
      <c r="X6" s="1" t="s">
        <v>59</v>
      </c>
      <c r="Y6" s="1" t="s">
        <v>64</v>
      </c>
      <c r="Z6" s="1" t="s">
        <v>46</v>
      </c>
      <c r="AA6" s="1">
        <v>2021</v>
      </c>
      <c r="AB6" s="1" t="s">
        <v>44</v>
      </c>
      <c r="AC6" s="1" t="s">
        <v>45</v>
      </c>
      <c r="AD6" s="1" t="s">
        <v>43</v>
      </c>
      <c r="AE6" s="1" t="s">
        <v>43</v>
      </c>
      <c r="AF6" s="1"/>
      <c r="AG6" s="1" t="s">
        <v>43</v>
      </c>
      <c r="AH6" s="2">
        <v>43997</v>
      </c>
    </row>
    <row r="7" spans="1:34" x14ac:dyDescent="0.3">
      <c r="A7" s="1">
        <v>5673501</v>
      </c>
      <c r="B7" s="1">
        <v>59.36</v>
      </c>
      <c r="C7" s="1">
        <v>89</v>
      </c>
      <c r="D7" s="1">
        <v>219</v>
      </c>
      <c r="E7" s="1" t="s">
        <v>43</v>
      </c>
      <c r="F7" s="1">
        <v>0</v>
      </c>
      <c r="G7" s="1" t="s">
        <v>65</v>
      </c>
      <c r="H7" s="1" t="s">
        <v>66</v>
      </c>
      <c r="I7" s="1" t="str">
        <f>HYPERLINK("https://www.systembolaget.se/produkt/vin/selezione-de-piera-5673501/","https://www.systembolaget.se/produkt/vin/selezione-de-piera-5673501/")</f>
        <v>https://www.systembolaget.se/produkt/vin/selezione-de-piera-5673501/</v>
      </c>
      <c r="J7" s="1">
        <v>55.28</v>
      </c>
      <c r="K7" s="1">
        <v>59.36</v>
      </c>
      <c r="L7" s="2">
        <v>45407</v>
      </c>
      <c r="M7" s="1" t="s">
        <v>67</v>
      </c>
      <c r="N7" s="1">
        <v>1.01</v>
      </c>
      <c r="O7" s="1">
        <v>750</v>
      </c>
      <c r="P7" s="1">
        <v>12</v>
      </c>
      <c r="Q7" s="1" t="s">
        <v>38</v>
      </c>
      <c r="R7" s="1" t="s">
        <v>61</v>
      </c>
      <c r="S7" s="1" t="s">
        <v>68</v>
      </c>
      <c r="T7" s="1"/>
      <c r="U7" s="1" t="s">
        <v>53</v>
      </c>
      <c r="V7" s="1"/>
      <c r="W7" s="1"/>
      <c r="X7" s="1" t="s">
        <v>69</v>
      </c>
      <c r="Y7" s="1" t="s">
        <v>57</v>
      </c>
      <c r="Z7" s="1" t="s">
        <v>43</v>
      </c>
      <c r="AA7" s="1">
        <v>2022</v>
      </c>
      <c r="AB7" s="1" t="s">
        <v>44</v>
      </c>
      <c r="AC7" s="1" t="s">
        <v>45</v>
      </c>
      <c r="AD7" s="1" t="s">
        <v>43</v>
      </c>
      <c r="AE7" s="1" t="s">
        <v>43</v>
      </c>
      <c r="AF7" s="1"/>
      <c r="AG7" s="1" t="s">
        <v>43</v>
      </c>
      <c r="AH7" s="2">
        <v>44676</v>
      </c>
    </row>
    <row r="8" spans="1:34" x14ac:dyDescent="0.3">
      <c r="A8" s="1">
        <v>9031401</v>
      </c>
      <c r="B8" s="1">
        <v>58.82</v>
      </c>
      <c r="C8" s="1">
        <v>49</v>
      </c>
      <c r="D8" s="1">
        <v>119</v>
      </c>
      <c r="E8" s="1" t="s">
        <v>43</v>
      </c>
      <c r="F8" s="1">
        <v>0</v>
      </c>
      <c r="G8" s="1" t="s">
        <v>70</v>
      </c>
      <c r="H8" s="1"/>
      <c r="I8" s="1" t="str">
        <f>HYPERLINK("https://www.systembolaget.se/produkt/vin/slightly-pinot-noir-9031401/","https://www.systembolaget.se/produkt/vin/slightly-pinot-noir-9031401/")</f>
        <v>https://www.systembolaget.se/produkt/vin/slightly-pinot-noir-9031401/</v>
      </c>
      <c r="J8" s="1">
        <v>58.82</v>
      </c>
      <c r="K8" s="1">
        <v>58.82</v>
      </c>
      <c r="L8" s="2">
        <v>45880</v>
      </c>
      <c r="M8" s="1" t="s">
        <v>71</v>
      </c>
      <c r="N8" s="1">
        <v>1.38</v>
      </c>
      <c r="O8" s="1">
        <v>750</v>
      </c>
      <c r="P8" s="1">
        <v>9</v>
      </c>
      <c r="Q8" s="1" t="s">
        <v>38</v>
      </c>
      <c r="R8" s="1" t="s">
        <v>52</v>
      </c>
      <c r="S8" s="1" t="s">
        <v>72</v>
      </c>
      <c r="T8" s="1"/>
      <c r="U8" s="1" t="s">
        <v>73</v>
      </c>
      <c r="V8" s="1" t="s">
        <v>74</v>
      </c>
      <c r="W8" s="1"/>
      <c r="X8" s="1" t="s">
        <v>75</v>
      </c>
      <c r="Y8" s="1" t="s">
        <v>76</v>
      </c>
      <c r="Z8" s="1" t="s">
        <v>43</v>
      </c>
      <c r="AA8" s="1">
        <v>2023</v>
      </c>
      <c r="AB8" s="1" t="s">
        <v>77</v>
      </c>
      <c r="AC8" s="1" t="s">
        <v>45</v>
      </c>
      <c r="AD8" s="1" t="s">
        <v>43</v>
      </c>
      <c r="AE8" s="1" t="s">
        <v>43</v>
      </c>
      <c r="AF8" s="1">
        <v>12</v>
      </c>
      <c r="AG8" s="1" t="s">
        <v>43</v>
      </c>
      <c r="AH8" s="2">
        <v>45901</v>
      </c>
    </row>
    <row r="9" spans="1:34" x14ac:dyDescent="0.3">
      <c r="A9" s="1">
        <v>7802701</v>
      </c>
      <c r="B9" s="1">
        <v>54.79</v>
      </c>
      <c r="C9" s="1">
        <v>99</v>
      </c>
      <c r="D9" s="1">
        <v>219</v>
      </c>
      <c r="E9" s="1" t="s">
        <v>43</v>
      </c>
      <c r="F9" s="1">
        <v>0</v>
      </c>
      <c r="G9" s="1" t="s">
        <v>78</v>
      </c>
      <c r="H9" s="1" t="s">
        <v>59</v>
      </c>
      <c r="I9" s="1" t="str">
        <f>HYPERLINK("https://www.systembolaget.se/produkt/vin/toscana-rose-7802701/","https://www.systembolaget.se/produkt/vin/toscana-rose-7802701/")</f>
        <v>https://www.systembolaget.se/produkt/vin/toscana-rose-7802701/</v>
      </c>
      <c r="J9" s="1">
        <v>54.79</v>
      </c>
      <c r="K9" s="1">
        <v>54.79</v>
      </c>
      <c r="L9" s="2">
        <v>45497</v>
      </c>
      <c r="M9" s="1" t="s">
        <v>79</v>
      </c>
      <c r="N9" s="1">
        <v>0.95</v>
      </c>
      <c r="O9" s="1">
        <v>750</v>
      </c>
      <c r="P9" s="1">
        <v>12.5</v>
      </c>
      <c r="Q9" s="1" t="s">
        <v>38</v>
      </c>
      <c r="R9" s="1" t="s">
        <v>80</v>
      </c>
      <c r="S9" s="1"/>
      <c r="T9" s="1"/>
      <c r="U9" s="1" t="s">
        <v>53</v>
      </c>
      <c r="V9" s="1" t="s">
        <v>63</v>
      </c>
      <c r="W9" s="1"/>
      <c r="X9" s="1" t="s">
        <v>59</v>
      </c>
      <c r="Y9" s="1" t="s">
        <v>64</v>
      </c>
      <c r="Z9" s="1" t="s">
        <v>46</v>
      </c>
      <c r="AA9" s="1">
        <v>2023</v>
      </c>
      <c r="AB9" s="1" t="s">
        <v>44</v>
      </c>
      <c r="AC9" s="1" t="s">
        <v>45</v>
      </c>
      <c r="AD9" s="1" t="s">
        <v>43</v>
      </c>
      <c r="AE9" s="1" t="s">
        <v>43</v>
      </c>
      <c r="AF9" s="1"/>
      <c r="AG9" s="1" t="s">
        <v>43</v>
      </c>
      <c r="AH9" s="2">
        <v>43935</v>
      </c>
    </row>
    <row r="10" spans="1:34" x14ac:dyDescent="0.3">
      <c r="A10" s="1">
        <v>2011801</v>
      </c>
      <c r="B10" s="1">
        <v>54.26</v>
      </c>
      <c r="C10" s="1">
        <v>59</v>
      </c>
      <c r="D10" s="1">
        <v>129</v>
      </c>
      <c r="E10" s="1" t="s">
        <v>43</v>
      </c>
      <c r="F10" s="1">
        <v>0</v>
      </c>
      <c r="G10" s="1" t="s">
        <v>81</v>
      </c>
      <c r="H10" s="1" t="s">
        <v>82</v>
      </c>
      <c r="I10" s="1" t="str">
        <f>HYPERLINK("https://www.systembolaget.se/produkt/vin/caminante-de-los-mundos-2011801/","https://www.systembolaget.se/produkt/vin/caminante-de-los-mundos-2011801/")</f>
        <v>https://www.systembolaget.se/produkt/vin/caminante-de-los-mundos-2011801/</v>
      </c>
      <c r="J10" s="1">
        <v>54.26</v>
      </c>
      <c r="K10" s="1">
        <v>54.26</v>
      </c>
      <c r="L10" s="2">
        <v>45696</v>
      </c>
      <c r="M10" s="1" t="s">
        <v>83</v>
      </c>
      <c r="N10" s="1">
        <v>1.78</v>
      </c>
      <c r="O10" s="1">
        <v>750</v>
      </c>
      <c r="P10" s="1">
        <v>14</v>
      </c>
      <c r="Q10" s="1" t="s">
        <v>38</v>
      </c>
      <c r="R10" s="1" t="s">
        <v>52</v>
      </c>
      <c r="S10" s="1" t="s">
        <v>84</v>
      </c>
      <c r="T10" s="1"/>
      <c r="U10" s="1" t="s">
        <v>85</v>
      </c>
      <c r="V10" s="1" t="s">
        <v>86</v>
      </c>
      <c r="W10" s="1" t="s">
        <v>87</v>
      </c>
      <c r="X10" s="1" t="s">
        <v>88</v>
      </c>
      <c r="Y10" s="1" t="s">
        <v>89</v>
      </c>
      <c r="Z10" s="1" t="s">
        <v>46</v>
      </c>
      <c r="AA10" s="1">
        <v>2025</v>
      </c>
      <c r="AB10" s="1" t="s">
        <v>77</v>
      </c>
      <c r="AC10" s="1" t="s">
        <v>90</v>
      </c>
      <c r="AD10" s="1" t="s">
        <v>43</v>
      </c>
      <c r="AE10" s="1" t="s">
        <v>43</v>
      </c>
      <c r="AF10" s="1">
        <v>2</v>
      </c>
      <c r="AG10" s="1" t="s">
        <v>43</v>
      </c>
      <c r="AH10" s="2">
        <v>45717</v>
      </c>
    </row>
    <row r="11" spans="1:34" x14ac:dyDescent="0.3">
      <c r="A11" s="1">
        <v>7771801</v>
      </c>
      <c r="B11" s="1">
        <v>50.36</v>
      </c>
      <c r="C11" s="1">
        <v>69</v>
      </c>
      <c r="D11" s="1">
        <v>139</v>
      </c>
      <c r="E11" s="1" t="s">
        <v>43</v>
      </c>
      <c r="F11" s="1">
        <v>0</v>
      </c>
      <c r="G11" s="1" t="s">
        <v>91</v>
      </c>
      <c r="H11" s="1" t="s">
        <v>92</v>
      </c>
      <c r="I11" s="1" t="str">
        <f>HYPERLINK("https://www.systembolaget.se/produkt/vin/pico-maccario-7771801/","https://www.systembolaget.se/produkt/vin/pico-maccario-7771801/")</f>
        <v>https://www.systembolaget.se/produkt/vin/pico-maccario-7771801/</v>
      </c>
      <c r="J11" s="1">
        <v>46.51</v>
      </c>
      <c r="K11" s="1">
        <v>50.36</v>
      </c>
      <c r="L11" s="2">
        <v>45733</v>
      </c>
      <c r="M11" s="1" t="s">
        <v>93</v>
      </c>
      <c r="N11" s="1">
        <v>0.54</v>
      </c>
      <c r="O11" s="1">
        <v>750</v>
      </c>
      <c r="P11" s="1">
        <v>5</v>
      </c>
      <c r="Q11" s="1" t="s">
        <v>38</v>
      </c>
      <c r="R11" s="1" t="s">
        <v>39</v>
      </c>
      <c r="S11" s="1" t="s">
        <v>94</v>
      </c>
      <c r="T11" s="1"/>
      <c r="U11" s="1" t="s">
        <v>53</v>
      </c>
      <c r="V11" s="1" t="s">
        <v>95</v>
      </c>
      <c r="W11" s="1" t="s">
        <v>96</v>
      </c>
      <c r="X11" s="1" t="s">
        <v>91</v>
      </c>
      <c r="Y11" s="1" t="s">
        <v>97</v>
      </c>
      <c r="Z11" s="1" t="s">
        <v>43</v>
      </c>
      <c r="AA11" s="1">
        <v>2024</v>
      </c>
      <c r="AB11" s="1" t="s">
        <v>44</v>
      </c>
      <c r="AC11" s="1" t="s">
        <v>45</v>
      </c>
      <c r="AD11" s="1" t="s">
        <v>43</v>
      </c>
      <c r="AE11" s="1" t="s">
        <v>43</v>
      </c>
      <c r="AF11" s="1">
        <v>122</v>
      </c>
      <c r="AG11" s="1" t="s">
        <v>43</v>
      </c>
      <c r="AH11" s="2">
        <v>45740</v>
      </c>
    </row>
    <row r="12" spans="1:34" x14ac:dyDescent="0.3">
      <c r="A12" s="1">
        <v>5466801</v>
      </c>
      <c r="B12" s="1">
        <v>50.15</v>
      </c>
      <c r="C12" s="1">
        <v>169</v>
      </c>
      <c r="D12" s="1">
        <v>339</v>
      </c>
      <c r="E12" s="1" t="s">
        <v>43</v>
      </c>
      <c r="F12" s="1">
        <v>0</v>
      </c>
      <c r="G12" s="1" t="s">
        <v>98</v>
      </c>
      <c r="H12" s="1" t="s">
        <v>99</v>
      </c>
      <c r="I12" s="1" t="str">
        <f>HYPERLINK("https://www.systembolaget.se/produkt/vin/vacheron-5466801/","https://www.systembolaget.se/produkt/vin/vacheron-5466801/")</f>
        <v>https://www.systembolaget.se/produkt/vin/vacheron-5466801/</v>
      </c>
      <c r="J12" s="1">
        <v>50.15</v>
      </c>
      <c r="K12" s="1">
        <v>50.15</v>
      </c>
      <c r="L12" s="2">
        <v>45393</v>
      </c>
      <c r="M12" s="1" t="s">
        <v>100</v>
      </c>
      <c r="N12" s="1">
        <v>0.62</v>
      </c>
      <c r="O12" s="1">
        <v>750</v>
      </c>
      <c r="P12" s="1">
        <v>14</v>
      </c>
      <c r="Q12" s="1" t="s">
        <v>38</v>
      </c>
      <c r="R12" s="1" t="s">
        <v>80</v>
      </c>
      <c r="S12" s="1"/>
      <c r="T12" s="1"/>
      <c r="U12" s="1" t="s">
        <v>101</v>
      </c>
      <c r="V12" s="1"/>
      <c r="W12" s="1"/>
      <c r="X12" s="1" t="s">
        <v>102</v>
      </c>
      <c r="Y12" s="1" t="s">
        <v>103</v>
      </c>
      <c r="Z12" s="1" t="s">
        <v>46</v>
      </c>
      <c r="AA12" s="1">
        <v>2022</v>
      </c>
      <c r="AB12" s="1" t="s">
        <v>44</v>
      </c>
      <c r="AC12" s="1" t="s">
        <v>45</v>
      </c>
      <c r="AD12" s="1" t="s">
        <v>43</v>
      </c>
      <c r="AE12" s="1" t="s">
        <v>43</v>
      </c>
      <c r="AF12" s="1"/>
      <c r="AG12" s="1" t="s">
        <v>43</v>
      </c>
      <c r="AH12" s="2">
        <v>45068</v>
      </c>
    </row>
    <row r="13" spans="1:34" x14ac:dyDescent="0.3">
      <c r="A13" s="1">
        <v>3274834</v>
      </c>
      <c r="B13" s="1">
        <v>46.75</v>
      </c>
      <c r="C13" s="1">
        <v>21.3</v>
      </c>
      <c r="D13" s="1">
        <v>40</v>
      </c>
      <c r="E13" s="1" t="s">
        <v>43</v>
      </c>
      <c r="F13" s="1">
        <v>0</v>
      </c>
      <c r="G13" s="1" t="s">
        <v>104</v>
      </c>
      <c r="H13" s="1" t="s">
        <v>105</v>
      </c>
      <c r="I13" s="1" t="str">
        <f>HYPERLINK("https://www.systembolaget.se/produkt/ol/good-guys-brew-3274834/","https://www.systembolaget.se/produkt/ol/good-guys-brew-3274834/")</f>
        <v>https://www.systembolaget.se/produkt/ol/good-guys-brew-3274834/</v>
      </c>
      <c r="J13" s="1"/>
      <c r="K13" s="1">
        <v>46.75</v>
      </c>
      <c r="L13" s="2">
        <v>46034</v>
      </c>
      <c r="M13" s="1" t="s">
        <v>106</v>
      </c>
      <c r="N13" s="1">
        <v>1.47</v>
      </c>
      <c r="O13" s="1">
        <v>330</v>
      </c>
      <c r="P13" s="1">
        <v>9.5</v>
      </c>
      <c r="Q13" s="1" t="s">
        <v>107</v>
      </c>
      <c r="R13" s="1" t="s">
        <v>108</v>
      </c>
      <c r="S13" s="1" t="s">
        <v>109</v>
      </c>
      <c r="T13" s="1"/>
      <c r="U13" s="1" t="s">
        <v>110</v>
      </c>
      <c r="V13" s="1" t="s">
        <v>111</v>
      </c>
      <c r="W13" s="1" t="s">
        <v>112</v>
      </c>
      <c r="X13" s="1" t="s">
        <v>104</v>
      </c>
      <c r="Y13" s="1" t="s">
        <v>113</v>
      </c>
      <c r="Z13" s="1" t="s">
        <v>43</v>
      </c>
      <c r="AA13" s="1"/>
      <c r="AB13" s="1" t="s">
        <v>114</v>
      </c>
      <c r="AC13" s="1" t="s">
        <v>115</v>
      </c>
      <c r="AD13" s="1" t="s">
        <v>46</v>
      </c>
      <c r="AE13" s="1" t="s">
        <v>43</v>
      </c>
      <c r="AF13" s="1"/>
      <c r="AG13" s="1" t="s">
        <v>43</v>
      </c>
      <c r="AH13" s="2">
        <v>46055</v>
      </c>
    </row>
    <row r="14" spans="1:34" x14ac:dyDescent="0.3">
      <c r="A14" s="1">
        <v>7398701</v>
      </c>
      <c r="B14" s="1">
        <v>45.87</v>
      </c>
      <c r="C14" s="1">
        <v>59</v>
      </c>
      <c r="D14" s="1">
        <v>109</v>
      </c>
      <c r="E14" s="1" t="s">
        <v>43</v>
      </c>
      <c r="F14" s="1">
        <v>0</v>
      </c>
      <c r="G14" s="1" t="s">
        <v>116</v>
      </c>
      <c r="H14" s="1" t="s">
        <v>117</v>
      </c>
      <c r="I14" s="1" t="str">
        <f>HYPERLINK("https://www.systembolaget.se/produkt/vin/hans-baer-7398701/","https://www.systembolaget.se/produkt/vin/hans-baer-7398701/")</f>
        <v>https://www.systembolaget.se/produkt/vin/hans-baer-7398701/</v>
      </c>
      <c r="J14" s="1">
        <v>45.87</v>
      </c>
      <c r="K14" s="1">
        <v>45.87</v>
      </c>
      <c r="L14" s="2">
        <v>45782</v>
      </c>
      <c r="M14" s="1" t="s">
        <v>118</v>
      </c>
      <c r="N14" s="1">
        <v>1.59</v>
      </c>
      <c r="O14" s="1">
        <v>750</v>
      </c>
      <c r="P14" s="1">
        <v>12.5</v>
      </c>
      <c r="Q14" s="1" t="s">
        <v>38</v>
      </c>
      <c r="R14" s="1" t="s">
        <v>61</v>
      </c>
      <c r="S14" s="1" t="s">
        <v>68</v>
      </c>
      <c r="T14" s="1"/>
      <c r="U14" s="1" t="s">
        <v>119</v>
      </c>
      <c r="V14" s="1"/>
      <c r="W14" s="1"/>
      <c r="X14" s="1" t="s">
        <v>120</v>
      </c>
      <c r="Y14" s="1" t="s">
        <v>121</v>
      </c>
      <c r="Z14" s="1" t="s">
        <v>43</v>
      </c>
      <c r="AA14" s="1"/>
      <c r="AB14" s="1" t="s">
        <v>77</v>
      </c>
      <c r="AC14" s="1" t="s">
        <v>45</v>
      </c>
      <c r="AD14" s="1" t="s">
        <v>43</v>
      </c>
      <c r="AE14" s="1" t="s">
        <v>43</v>
      </c>
      <c r="AF14" s="1">
        <v>18</v>
      </c>
      <c r="AG14" s="1" t="s">
        <v>43</v>
      </c>
      <c r="AH14" s="2">
        <v>45789</v>
      </c>
    </row>
    <row r="15" spans="1:34" x14ac:dyDescent="0.3">
      <c r="A15" s="1">
        <v>7410901</v>
      </c>
      <c r="B15" s="1">
        <v>45.87</v>
      </c>
      <c r="C15" s="1">
        <v>59</v>
      </c>
      <c r="D15" s="1">
        <v>109</v>
      </c>
      <c r="E15" s="1" t="s">
        <v>43</v>
      </c>
      <c r="F15" s="1">
        <v>0</v>
      </c>
      <c r="G15" s="1" t="s">
        <v>122</v>
      </c>
      <c r="H15" s="1" t="s">
        <v>123</v>
      </c>
      <c r="I15" s="1" t="str">
        <f>HYPERLINK("https://www.systembolaget.se/produkt/vin/zin-zap-7410901/","https://www.systembolaget.se/produkt/vin/zin-zap-7410901/")</f>
        <v>https://www.systembolaget.se/produkt/vin/zin-zap-7410901/</v>
      </c>
      <c r="J15" s="1">
        <v>45.87</v>
      </c>
      <c r="K15" s="1">
        <v>45.87</v>
      </c>
      <c r="L15" s="2">
        <v>45516</v>
      </c>
      <c r="M15" s="1" t="s">
        <v>124</v>
      </c>
      <c r="N15" s="1">
        <v>1.84</v>
      </c>
      <c r="O15" s="1">
        <v>750</v>
      </c>
      <c r="P15" s="1">
        <v>14.5</v>
      </c>
      <c r="Q15" s="1" t="s">
        <v>38</v>
      </c>
      <c r="R15" s="1" t="s">
        <v>52</v>
      </c>
      <c r="S15" s="1" t="s">
        <v>84</v>
      </c>
      <c r="T15" s="1"/>
      <c r="U15" s="1" t="s">
        <v>53</v>
      </c>
      <c r="V15" s="1"/>
      <c r="W15" s="1"/>
      <c r="X15" s="1" t="s">
        <v>125</v>
      </c>
      <c r="Y15" s="1" t="s">
        <v>126</v>
      </c>
      <c r="Z15" s="1" t="s">
        <v>43</v>
      </c>
      <c r="AA15" s="1">
        <v>2022</v>
      </c>
      <c r="AB15" s="1" t="s">
        <v>77</v>
      </c>
      <c r="AC15" s="1" t="s">
        <v>45</v>
      </c>
      <c r="AD15" s="1" t="s">
        <v>43</v>
      </c>
      <c r="AE15" s="1" t="s">
        <v>43</v>
      </c>
      <c r="AF15" s="1">
        <v>14</v>
      </c>
      <c r="AG15" s="1" t="s">
        <v>43</v>
      </c>
      <c r="AH15" s="2">
        <v>45497</v>
      </c>
    </row>
    <row r="16" spans="1:34" x14ac:dyDescent="0.3">
      <c r="A16" s="1">
        <v>5593401</v>
      </c>
      <c r="B16" s="1">
        <v>44.69</v>
      </c>
      <c r="C16" s="1">
        <v>99</v>
      </c>
      <c r="D16" s="1">
        <v>179</v>
      </c>
      <c r="E16" s="1" t="s">
        <v>43</v>
      </c>
      <c r="F16" s="1">
        <v>0</v>
      </c>
      <c r="G16" s="1" t="s">
        <v>127</v>
      </c>
      <c r="H16" s="1" t="s">
        <v>128</v>
      </c>
      <c r="I16" s="1" t="str">
        <f>HYPERLINK("https://www.systembolaget.se/produkt/vin/munferie-5593401/","https://www.systembolaget.se/produkt/vin/munferie-5593401/")</f>
        <v>https://www.systembolaget.se/produkt/vin/munferie-5593401/</v>
      </c>
      <c r="J16" s="1">
        <v>47.62</v>
      </c>
      <c r="K16" s="1">
        <v>44.69</v>
      </c>
      <c r="L16" s="2">
        <v>45771</v>
      </c>
      <c r="M16" s="1" t="s">
        <v>129</v>
      </c>
      <c r="N16" s="1">
        <v>0.98</v>
      </c>
      <c r="O16" s="1">
        <v>750</v>
      </c>
      <c r="P16" s="1">
        <v>13</v>
      </c>
      <c r="Q16" s="1" t="s">
        <v>38</v>
      </c>
      <c r="R16" s="1" t="s">
        <v>80</v>
      </c>
      <c r="S16" s="1"/>
      <c r="T16" s="1"/>
      <c r="U16" s="1" t="s">
        <v>53</v>
      </c>
      <c r="V16" s="1" t="s">
        <v>95</v>
      </c>
      <c r="W16" s="1"/>
      <c r="X16" s="1" t="s">
        <v>130</v>
      </c>
      <c r="Y16" s="1" t="s">
        <v>64</v>
      </c>
      <c r="Z16" s="1" t="s">
        <v>43</v>
      </c>
      <c r="AA16" s="1">
        <v>2022</v>
      </c>
      <c r="AB16" s="1" t="s">
        <v>44</v>
      </c>
      <c r="AC16" s="1" t="s">
        <v>45</v>
      </c>
      <c r="AD16" s="1" t="s">
        <v>43</v>
      </c>
      <c r="AE16" s="1" t="s">
        <v>43</v>
      </c>
      <c r="AF16" s="1"/>
      <c r="AG16" s="1" t="s">
        <v>43</v>
      </c>
      <c r="AH16" s="2">
        <v>45075</v>
      </c>
    </row>
    <row r="17" spans="1:34" x14ac:dyDescent="0.3">
      <c r="A17" s="1">
        <v>3116015</v>
      </c>
      <c r="B17" s="1">
        <v>44.13</v>
      </c>
      <c r="C17" s="1">
        <v>10</v>
      </c>
      <c r="D17" s="1">
        <v>17.899999999999999</v>
      </c>
      <c r="E17" s="1" t="s">
        <v>43</v>
      </c>
      <c r="F17" s="1">
        <v>0</v>
      </c>
      <c r="G17" s="1" t="s">
        <v>131</v>
      </c>
      <c r="H17" s="1" t="s">
        <v>132</v>
      </c>
      <c r="I17" s="1" t="str">
        <f>HYPERLINK("https://www.systembolaget.se/produkt/ol/ringu-brewing-3116015/","https://www.systembolaget.se/produkt/ol/ringu-brewing-3116015/")</f>
        <v>https://www.systembolaget.se/produkt/ol/ringu-brewing-3116015/</v>
      </c>
      <c r="J17" s="1">
        <v>49.75</v>
      </c>
      <c r="K17" s="1">
        <v>44.13</v>
      </c>
      <c r="L17" s="2">
        <v>45607</v>
      </c>
      <c r="M17" s="1" t="s">
        <v>133</v>
      </c>
      <c r="N17" s="1">
        <v>1.55</v>
      </c>
      <c r="O17" s="1">
        <v>330</v>
      </c>
      <c r="P17" s="1">
        <v>4.7</v>
      </c>
      <c r="Q17" s="1" t="s">
        <v>107</v>
      </c>
      <c r="R17" s="1" t="s">
        <v>134</v>
      </c>
      <c r="S17" s="1" t="s">
        <v>135</v>
      </c>
      <c r="T17" s="1"/>
      <c r="U17" s="1" t="s">
        <v>110</v>
      </c>
      <c r="V17" s="1" t="s">
        <v>136</v>
      </c>
      <c r="W17" s="1" t="s">
        <v>137</v>
      </c>
      <c r="X17" s="1" t="s">
        <v>131</v>
      </c>
      <c r="Y17" s="1" t="s">
        <v>138</v>
      </c>
      <c r="Z17" s="1" t="s">
        <v>43</v>
      </c>
      <c r="AA17" s="1"/>
      <c r="AB17" s="1" t="s">
        <v>114</v>
      </c>
      <c r="AC17" s="1" t="s">
        <v>45</v>
      </c>
      <c r="AD17" s="1" t="s">
        <v>43</v>
      </c>
      <c r="AE17" s="1" t="s">
        <v>43</v>
      </c>
      <c r="AF17" s="1"/>
      <c r="AG17" s="1" t="s">
        <v>43</v>
      </c>
      <c r="AH17" s="2">
        <v>45810</v>
      </c>
    </row>
    <row r="18" spans="1:34" x14ac:dyDescent="0.3">
      <c r="A18" s="1">
        <v>7688201</v>
      </c>
      <c r="B18" s="1">
        <v>42.92</v>
      </c>
      <c r="C18" s="1">
        <v>399</v>
      </c>
      <c r="D18" s="1">
        <v>699</v>
      </c>
      <c r="E18" s="1" t="s">
        <v>43</v>
      </c>
      <c r="F18" s="1">
        <v>0</v>
      </c>
      <c r="G18" s="1" t="s">
        <v>139</v>
      </c>
      <c r="H18" s="1" t="s">
        <v>140</v>
      </c>
      <c r="I18" s="1" t="str">
        <f>HYPERLINK("https://www.systembolaget.se/produkt/vin/blagny-7688201/","https://www.systembolaget.se/produkt/vin/blagny-7688201/")</f>
        <v>https://www.systembolaget.se/produkt/vin/blagny-7688201/</v>
      </c>
      <c r="J18" s="1"/>
      <c r="K18" s="1">
        <v>42.92</v>
      </c>
      <c r="L18" s="2">
        <v>46188</v>
      </c>
      <c r="M18" s="1" t="s">
        <v>141</v>
      </c>
      <c r="N18" s="1">
        <v>0.25</v>
      </c>
      <c r="O18" s="1">
        <v>750</v>
      </c>
      <c r="P18" s="1">
        <v>13.5</v>
      </c>
      <c r="Q18" s="1" t="s">
        <v>38</v>
      </c>
      <c r="R18" s="1" t="s">
        <v>52</v>
      </c>
      <c r="S18" s="1"/>
      <c r="T18" s="1"/>
      <c r="U18" s="1" t="s">
        <v>101</v>
      </c>
      <c r="V18" s="1" t="s">
        <v>142</v>
      </c>
      <c r="W18" s="1" t="s">
        <v>143</v>
      </c>
      <c r="X18" s="1" t="s">
        <v>144</v>
      </c>
      <c r="Y18" s="1" t="s">
        <v>145</v>
      </c>
      <c r="Z18" s="1" t="s">
        <v>43</v>
      </c>
      <c r="AA18" s="1">
        <v>2022</v>
      </c>
      <c r="AB18" s="1" t="s">
        <v>44</v>
      </c>
      <c r="AC18" s="1" t="s">
        <v>45</v>
      </c>
      <c r="AD18" s="1" t="s">
        <v>43</v>
      </c>
      <c r="AE18" s="1" t="s">
        <v>43</v>
      </c>
      <c r="AF18" s="1"/>
      <c r="AG18" s="1" t="s">
        <v>43</v>
      </c>
      <c r="AH18" s="2">
        <v>46194</v>
      </c>
    </row>
    <row r="19" spans="1:34" x14ac:dyDescent="0.3">
      <c r="A19" s="1">
        <v>7830801</v>
      </c>
      <c r="B19" s="1">
        <v>41.42</v>
      </c>
      <c r="C19" s="1">
        <v>99</v>
      </c>
      <c r="D19" s="1">
        <v>169</v>
      </c>
      <c r="E19" s="1" t="s">
        <v>43</v>
      </c>
      <c r="F19" s="1">
        <v>6</v>
      </c>
      <c r="G19" s="1" t="s">
        <v>146</v>
      </c>
      <c r="H19" s="1" t="s">
        <v>147</v>
      </c>
      <c r="I19" s="1" t="str">
        <f>HYPERLINK("https://www.systembolaget.se/produkt/vin/heartland-7830801/","https://www.systembolaget.se/produkt/vin/heartland-7830801/")</f>
        <v>https://www.systembolaget.se/produkt/vin/heartland-7830801/</v>
      </c>
      <c r="J19" s="1">
        <v>37.74</v>
      </c>
      <c r="K19" s="1">
        <v>41.42</v>
      </c>
      <c r="L19" s="2">
        <v>45389</v>
      </c>
      <c r="M19" s="1" t="s">
        <v>148</v>
      </c>
      <c r="N19" s="1">
        <v>1.1000000000000001</v>
      </c>
      <c r="O19" s="1">
        <v>750</v>
      </c>
      <c r="P19" s="1">
        <v>14.5</v>
      </c>
      <c r="Q19" s="1" t="s">
        <v>38</v>
      </c>
      <c r="R19" s="1" t="s">
        <v>52</v>
      </c>
      <c r="S19" s="1"/>
      <c r="T19" s="1"/>
      <c r="U19" s="1" t="s">
        <v>149</v>
      </c>
      <c r="V19" s="1" t="s">
        <v>150</v>
      </c>
      <c r="W19" s="1" t="s">
        <v>151</v>
      </c>
      <c r="X19" s="1" t="s">
        <v>152</v>
      </c>
      <c r="Y19" s="1" t="s">
        <v>153</v>
      </c>
      <c r="Z19" s="1" t="s">
        <v>43</v>
      </c>
      <c r="AA19" s="1">
        <v>2021</v>
      </c>
      <c r="AB19" s="1" t="s">
        <v>44</v>
      </c>
      <c r="AC19" s="1" t="s">
        <v>45</v>
      </c>
      <c r="AD19" s="1" t="s">
        <v>43</v>
      </c>
      <c r="AE19" s="1" t="s">
        <v>43</v>
      </c>
      <c r="AF19" s="1"/>
      <c r="AG19" s="1" t="s">
        <v>43</v>
      </c>
      <c r="AH19" s="2">
        <v>43801</v>
      </c>
    </row>
    <row r="20" spans="1:34" x14ac:dyDescent="0.3">
      <c r="A20" s="1">
        <v>470215</v>
      </c>
      <c r="B20" s="1">
        <v>41.42</v>
      </c>
      <c r="C20" s="1">
        <v>9.9</v>
      </c>
      <c r="D20" s="1">
        <v>16.899999999999999</v>
      </c>
      <c r="E20" s="1" t="s">
        <v>43</v>
      </c>
      <c r="F20" s="1">
        <v>0</v>
      </c>
      <c r="G20" s="1" t="s">
        <v>154</v>
      </c>
      <c r="H20" s="1" t="s">
        <v>155</v>
      </c>
      <c r="I20" s="1" t="str">
        <f>HYPERLINK("https://www.systembolaget.se/produkt/cider-blanddrycker/tr3-apor-470215/","https://www.systembolaget.se/produkt/cider-blanddrycker/tr3-apor-470215/")</f>
        <v>https://www.systembolaget.se/produkt/cider-blanddrycker/tr3-apor-470215/</v>
      </c>
      <c r="J20" s="1">
        <v>41.42</v>
      </c>
      <c r="K20" s="1">
        <v>41.42</v>
      </c>
      <c r="L20" s="2">
        <v>45696</v>
      </c>
      <c r="M20" s="1" t="s">
        <v>156</v>
      </c>
      <c r="N20" s="1">
        <v>1.5</v>
      </c>
      <c r="O20" s="1">
        <v>330</v>
      </c>
      <c r="P20" s="1">
        <v>4.5</v>
      </c>
      <c r="Q20" s="1" t="s">
        <v>157</v>
      </c>
      <c r="R20" s="1" t="s">
        <v>158</v>
      </c>
      <c r="S20" s="1" t="s">
        <v>159</v>
      </c>
      <c r="T20" s="1"/>
      <c r="U20" s="1" t="s">
        <v>110</v>
      </c>
      <c r="V20" s="1"/>
      <c r="W20" s="1"/>
      <c r="X20" s="1" t="s">
        <v>160</v>
      </c>
      <c r="Y20" s="1" t="s">
        <v>121</v>
      </c>
      <c r="Z20" s="1" t="s">
        <v>46</v>
      </c>
      <c r="AA20" s="1"/>
      <c r="AB20" s="1" t="s">
        <v>114</v>
      </c>
      <c r="AC20" s="1" t="s">
        <v>90</v>
      </c>
      <c r="AD20" s="1" t="s">
        <v>43</v>
      </c>
      <c r="AE20" s="1" t="s">
        <v>43</v>
      </c>
      <c r="AF20" s="1">
        <v>106</v>
      </c>
      <c r="AG20" s="1" t="s">
        <v>43</v>
      </c>
      <c r="AH20" s="2">
        <v>45717</v>
      </c>
    </row>
    <row r="21" spans="1:34" x14ac:dyDescent="0.3">
      <c r="A21" s="1">
        <v>235801</v>
      </c>
      <c r="B21" s="1">
        <v>40.4</v>
      </c>
      <c r="C21" s="1">
        <v>59</v>
      </c>
      <c r="D21" s="1">
        <v>99</v>
      </c>
      <c r="E21" s="1" t="s">
        <v>43</v>
      </c>
      <c r="F21" s="1">
        <v>0</v>
      </c>
      <c r="G21" s="1" t="s">
        <v>161</v>
      </c>
      <c r="H21" s="1" t="s">
        <v>162</v>
      </c>
      <c r="I21" s="1" t="str">
        <f>HYPERLINK("https://www.systembolaget.se/produkt/vin/matilda-nieves-235801/","https://www.systembolaget.se/produkt/vin/matilda-nieves-235801/")</f>
        <v>https://www.systembolaget.se/produkt/vin/matilda-nieves-235801/</v>
      </c>
      <c r="J21" s="1">
        <v>60.4</v>
      </c>
      <c r="K21" s="1">
        <v>40.4</v>
      </c>
      <c r="L21" s="2">
        <v>45789</v>
      </c>
      <c r="M21" s="1" t="s">
        <v>163</v>
      </c>
      <c r="N21" s="1">
        <v>1.72</v>
      </c>
      <c r="O21" s="1">
        <v>750</v>
      </c>
      <c r="P21" s="1">
        <v>13.5</v>
      </c>
      <c r="Q21" s="1" t="s">
        <v>38</v>
      </c>
      <c r="R21" s="1" t="s">
        <v>52</v>
      </c>
      <c r="S21" s="1" t="s">
        <v>84</v>
      </c>
      <c r="T21" s="1"/>
      <c r="U21" s="1" t="s">
        <v>164</v>
      </c>
      <c r="V21" s="1" t="s">
        <v>165</v>
      </c>
      <c r="W21" s="1" t="s">
        <v>166</v>
      </c>
      <c r="X21" s="1" t="s">
        <v>167</v>
      </c>
      <c r="Y21" s="1" t="s">
        <v>57</v>
      </c>
      <c r="Z21" s="1" t="s">
        <v>43</v>
      </c>
      <c r="AA21" s="1">
        <v>2023</v>
      </c>
      <c r="AB21" s="1" t="s">
        <v>77</v>
      </c>
      <c r="AC21" s="1" t="s">
        <v>45</v>
      </c>
      <c r="AD21" s="1" t="s">
        <v>43</v>
      </c>
      <c r="AE21" s="1" t="s">
        <v>43</v>
      </c>
      <c r="AF21" s="1">
        <v>2</v>
      </c>
      <c r="AG21" s="1" t="s">
        <v>43</v>
      </c>
      <c r="AH21" s="2">
        <v>45810</v>
      </c>
    </row>
    <row r="22" spans="1:34" x14ac:dyDescent="0.3">
      <c r="A22" s="1">
        <v>288501</v>
      </c>
      <c r="B22" s="1">
        <v>40.4</v>
      </c>
      <c r="C22" s="1">
        <v>59</v>
      </c>
      <c r="D22" s="1">
        <v>99</v>
      </c>
      <c r="E22" s="1" t="s">
        <v>43</v>
      </c>
      <c r="F22" s="1">
        <v>0</v>
      </c>
      <c r="G22" s="1" t="s">
        <v>168</v>
      </c>
      <c r="H22" s="1" t="s">
        <v>62</v>
      </c>
      <c r="I22" s="1" t="str">
        <f>HYPERLINK("https://www.systembolaget.se/produkt/vin/euphoria-288501/","https://www.systembolaget.se/produkt/vin/euphoria-288501/")</f>
        <v>https://www.systembolaget.se/produkt/vin/euphoria-288501/</v>
      </c>
      <c r="J22" s="1">
        <v>50.42</v>
      </c>
      <c r="K22" s="1">
        <v>40.4</v>
      </c>
      <c r="L22" s="2">
        <v>45789</v>
      </c>
      <c r="M22" s="1" t="s">
        <v>169</v>
      </c>
      <c r="N22" s="1">
        <v>1.46</v>
      </c>
      <c r="O22" s="1">
        <v>750</v>
      </c>
      <c r="P22" s="1">
        <v>11.5</v>
      </c>
      <c r="Q22" s="1" t="s">
        <v>38</v>
      </c>
      <c r="R22" s="1" t="s">
        <v>80</v>
      </c>
      <c r="S22" s="1" t="s">
        <v>170</v>
      </c>
      <c r="T22" s="1"/>
      <c r="U22" s="1" t="s">
        <v>171</v>
      </c>
      <c r="V22" s="1" t="s">
        <v>172</v>
      </c>
      <c r="W22" s="1" t="s">
        <v>173</v>
      </c>
      <c r="X22" s="1" t="s">
        <v>174</v>
      </c>
      <c r="Y22" s="1" t="s">
        <v>175</v>
      </c>
      <c r="Z22" s="1" t="s">
        <v>43</v>
      </c>
      <c r="AA22" s="1">
        <v>2024</v>
      </c>
      <c r="AB22" s="1" t="s">
        <v>77</v>
      </c>
      <c r="AC22" s="1" t="s">
        <v>90</v>
      </c>
      <c r="AD22" s="1" t="s">
        <v>43</v>
      </c>
      <c r="AE22" s="1" t="s">
        <v>43</v>
      </c>
      <c r="AF22" s="1">
        <v>6</v>
      </c>
      <c r="AG22" s="1" t="s">
        <v>43</v>
      </c>
      <c r="AH22" s="2">
        <v>45810</v>
      </c>
    </row>
    <row r="23" spans="1:34" x14ac:dyDescent="0.3">
      <c r="A23" s="1">
        <v>7114121</v>
      </c>
      <c r="B23" s="1">
        <v>40.4</v>
      </c>
      <c r="C23" s="1">
        <v>59</v>
      </c>
      <c r="D23" s="1">
        <v>99</v>
      </c>
      <c r="E23" s="1" t="s">
        <v>43</v>
      </c>
      <c r="F23" s="1">
        <v>0</v>
      </c>
      <c r="G23" s="1" t="s">
        <v>176</v>
      </c>
      <c r="H23" s="1" t="s">
        <v>177</v>
      </c>
      <c r="I23" s="1" t="str">
        <f>HYPERLINK("https://www.systembolaget.se/produkt/vin/cocoon-7114121/","https://www.systembolaget.se/produkt/vin/cocoon-7114121/")</f>
        <v>https://www.systembolaget.se/produkt/vin/cocoon-7114121/</v>
      </c>
      <c r="J23" s="1">
        <v>40.4</v>
      </c>
      <c r="K23" s="1">
        <v>40.4</v>
      </c>
      <c r="L23" s="2">
        <v>45389</v>
      </c>
      <c r="M23" s="1" t="s">
        <v>178</v>
      </c>
      <c r="N23" s="1">
        <v>1.72</v>
      </c>
      <c r="O23" s="1">
        <v>750</v>
      </c>
      <c r="P23" s="1">
        <v>13.5</v>
      </c>
      <c r="Q23" s="1" t="s">
        <v>38</v>
      </c>
      <c r="R23" s="1" t="s">
        <v>52</v>
      </c>
      <c r="S23" s="1" t="s">
        <v>84</v>
      </c>
      <c r="T23" s="1"/>
      <c r="U23" s="1" t="s">
        <v>73</v>
      </c>
      <c r="V23" s="1" t="s">
        <v>74</v>
      </c>
      <c r="W23" s="1"/>
      <c r="X23" s="1" t="s">
        <v>179</v>
      </c>
      <c r="Y23" s="1" t="s">
        <v>180</v>
      </c>
      <c r="Z23" s="1" t="s">
        <v>43</v>
      </c>
      <c r="AA23" s="1">
        <v>2021</v>
      </c>
      <c r="AB23" s="1" t="s">
        <v>181</v>
      </c>
      <c r="AC23" s="1" t="s">
        <v>45</v>
      </c>
      <c r="AD23" s="1" t="s">
        <v>43</v>
      </c>
      <c r="AE23" s="1" t="s">
        <v>43</v>
      </c>
      <c r="AF23" s="1">
        <v>6</v>
      </c>
      <c r="AG23" s="1" t="s">
        <v>43</v>
      </c>
      <c r="AH23" s="2">
        <v>44900</v>
      </c>
    </row>
    <row r="24" spans="1:34" x14ac:dyDescent="0.3">
      <c r="A24" s="1">
        <v>7264901</v>
      </c>
      <c r="B24" s="1">
        <v>40.4</v>
      </c>
      <c r="C24" s="1">
        <v>59</v>
      </c>
      <c r="D24" s="1">
        <v>99</v>
      </c>
      <c r="E24" s="1" t="s">
        <v>43</v>
      </c>
      <c r="F24" s="1">
        <v>0</v>
      </c>
      <c r="G24" s="1" t="s">
        <v>182</v>
      </c>
      <c r="H24" s="1" t="s">
        <v>183</v>
      </c>
      <c r="I24" s="1" t="str">
        <f>HYPERLINK("https://www.systembolaget.se/produkt/vin/grande-nuit-7264901/","https://www.systembolaget.se/produkt/vin/grande-nuit-7264901/")</f>
        <v>https://www.systembolaget.se/produkt/vin/grande-nuit-7264901/</v>
      </c>
      <c r="J24" s="1">
        <v>40.4</v>
      </c>
      <c r="K24" s="1">
        <v>40.4</v>
      </c>
      <c r="L24" s="2">
        <v>45524</v>
      </c>
      <c r="M24" s="1" t="s">
        <v>178</v>
      </c>
      <c r="N24" s="1">
        <v>1.53</v>
      </c>
      <c r="O24" s="1">
        <v>750</v>
      </c>
      <c r="P24" s="1">
        <v>12</v>
      </c>
      <c r="Q24" s="1" t="s">
        <v>38</v>
      </c>
      <c r="R24" s="1" t="s">
        <v>39</v>
      </c>
      <c r="S24" s="1" t="s">
        <v>184</v>
      </c>
      <c r="T24" s="1"/>
      <c r="U24" s="1" t="s">
        <v>101</v>
      </c>
      <c r="V24" s="1" t="s">
        <v>185</v>
      </c>
      <c r="W24" s="1" t="s">
        <v>186</v>
      </c>
      <c r="X24" s="1" t="s">
        <v>187</v>
      </c>
      <c r="Y24" s="1" t="s">
        <v>188</v>
      </c>
      <c r="Z24" s="1" t="s">
        <v>43</v>
      </c>
      <c r="AA24" s="1">
        <v>2023</v>
      </c>
      <c r="AB24" s="1" t="s">
        <v>77</v>
      </c>
      <c r="AC24" s="1" t="s">
        <v>45</v>
      </c>
      <c r="AD24" s="1" t="s">
        <v>43</v>
      </c>
      <c r="AE24" s="1" t="s">
        <v>43</v>
      </c>
      <c r="AF24" s="1">
        <v>2</v>
      </c>
      <c r="AG24" s="1" t="s">
        <v>43</v>
      </c>
      <c r="AH24" s="2">
        <v>43514</v>
      </c>
    </row>
    <row r="25" spans="1:34" x14ac:dyDescent="0.3">
      <c r="A25" s="1">
        <v>8416201</v>
      </c>
      <c r="B25" s="1">
        <v>40.270000000000003</v>
      </c>
      <c r="C25" s="1">
        <v>89</v>
      </c>
      <c r="D25" s="1">
        <v>149</v>
      </c>
      <c r="E25" s="1" t="s">
        <v>43</v>
      </c>
      <c r="F25" s="1">
        <v>0</v>
      </c>
      <c r="G25" s="1" t="s">
        <v>189</v>
      </c>
      <c r="H25" s="1" t="s">
        <v>190</v>
      </c>
      <c r="I25" s="1" t="str">
        <f>HYPERLINK("https://www.systembolaget.se/produkt/vin/cune-monopole-8416201/","https://www.systembolaget.se/produkt/vin/cune-monopole-8416201/")</f>
        <v>https://www.systembolaget.se/produkt/vin/cune-monopole-8416201/</v>
      </c>
      <c r="J25" s="1">
        <v>35.97</v>
      </c>
      <c r="K25" s="1">
        <v>40.270000000000003</v>
      </c>
      <c r="L25" s="2">
        <v>45406</v>
      </c>
      <c r="M25" s="1" t="s">
        <v>191</v>
      </c>
      <c r="N25" s="1">
        <v>1.1000000000000001</v>
      </c>
      <c r="O25" s="1">
        <v>750</v>
      </c>
      <c r="P25" s="1">
        <v>13</v>
      </c>
      <c r="Q25" s="1" t="s">
        <v>38</v>
      </c>
      <c r="R25" s="1" t="s">
        <v>39</v>
      </c>
      <c r="S25" s="1"/>
      <c r="T25" s="1"/>
      <c r="U25" s="1" t="s">
        <v>164</v>
      </c>
      <c r="V25" s="1" t="s">
        <v>192</v>
      </c>
      <c r="W25" s="1"/>
      <c r="X25" s="1" t="s">
        <v>193</v>
      </c>
      <c r="Y25" s="1" t="s">
        <v>89</v>
      </c>
      <c r="Z25" s="1" t="s">
        <v>43</v>
      </c>
      <c r="AA25" s="1">
        <v>2022</v>
      </c>
      <c r="AB25" s="1" t="s">
        <v>44</v>
      </c>
      <c r="AC25" s="1" t="s">
        <v>45</v>
      </c>
      <c r="AD25" s="1" t="s">
        <v>43</v>
      </c>
      <c r="AE25" s="1" t="s">
        <v>43</v>
      </c>
      <c r="AF25" s="1"/>
      <c r="AG25" s="1" t="s">
        <v>43</v>
      </c>
      <c r="AH25" s="2">
        <v>44193</v>
      </c>
    </row>
    <row r="26" spans="1:34" x14ac:dyDescent="0.3">
      <c r="A26" s="1">
        <v>7057501</v>
      </c>
      <c r="B26" s="1">
        <v>40.159999999999997</v>
      </c>
      <c r="C26" s="1">
        <v>149</v>
      </c>
      <c r="D26" s="1">
        <v>249</v>
      </c>
      <c r="E26" s="1" t="s">
        <v>43</v>
      </c>
      <c r="F26" s="1">
        <v>0</v>
      </c>
      <c r="G26" s="1" t="s">
        <v>194</v>
      </c>
      <c r="H26" s="1" t="s">
        <v>195</v>
      </c>
      <c r="I26" s="1" t="str">
        <f>HYPERLINK("https://www.systembolaget.se/produkt/vin/a-coroa-7057501/","https://www.systembolaget.se/produkt/vin/a-coroa-7057501/")</f>
        <v>https://www.systembolaget.se/produkt/vin/a-coroa-7057501/</v>
      </c>
      <c r="J26" s="1"/>
      <c r="K26" s="1">
        <v>40.159999999999997</v>
      </c>
      <c r="L26" s="2">
        <v>46188</v>
      </c>
      <c r="M26" s="1" t="s">
        <v>196</v>
      </c>
      <c r="N26" s="1">
        <v>0.68</v>
      </c>
      <c r="O26" s="1">
        <v>750</v>
      </c>
      <c r="P26" s="1">
        <v>13.5</v>
      </c>
      <c r="Q26" s="1" t="s">
        <v>38</v>
      </c>
      <c r="R26" s="1" t="s">
        <v>39</v>
      </c>
      <c r="S26" s="1"/>
      <c r="T26" s="1"/>
      <c r="U26" s="1" t="s">
        <v>164</v>
      </c>
      <c r="V26" s="1" t="s">
        <v>165</v>
      </c>
      <c r="W26" s="1" t="s">
        <v>197</v>
      </c>
      <c r="X26" s="1" t="s">
        <v>198</v>
      </c>
      <c r="Y26" s="1" t="s">
        <v>145</v>
      </c>
      <c r="Z26" s="1" t="s">
        <v>43</v>
      </c>
      <c r="AA26" s="1">
        <v>2023</v>
      </c>
      <c r="AB26" s="1" t="s">
        <v>44</v>
      </c>
      <c r="AC26" s="1" t="s">
        <v>45</v>
      </c>
      <c r="AD26" s="1" t="s">
        <v>43</v>
      </c>
      <c r="AE26" s="1" t="s">
        <v>43</v>
      </c>
      <c r="AF26" s="1"/>
      <c r="AG26" s="1" t="s">
        <v>43</v>
      </c>
      <c r="AH26" s="2">
        <v>46194</v>
      </c>
    </row>
    <row r="27" spans="1:34" x14ac:dyDescent="0.3">
      <c r="A27" s="1">
        <v>5432901</v>
      </c>
      <c r="B27" s="1">
        <v>38.76</v>
      </c>
      <c r="C27" s="1">
        <v>79</v>
      </c>
      <c r="D27" s="1">
        <v>129</v>
      </c>
      <c r="E27" s="1" t="s">
        <v>43</v>
      </c>
      <c r="F27" s="1">
        <v>0</v>
      </c>
      <c r="G27" s="1" t="s">
        <v>199</v>
      </c>
      <c r="H27" s="1" t="s">
        <v>200</v>
      </c>
      <c r="I27" s="1" t="str">
        <f>HYPERLINK("https://www.systembolaget.se/produkt/vin/castelmare-5432901/","https://www.systembolaget.se/produkt/vin/castelmare-5432901/")</f>
        <v>https://www.systembolaget.se/produkt/vin/castelmare-5432901/</v>
      </c>
      <c r="J27" s="1">
        <v>38.76</v>
      </c>
      <c r="K27" s="1">
        <v>38.76</v>
      </c>
      <c r="L27" s="2">
        <v>45524</v>
      </c>
      <c r="M27" s="1" t="s">
        <v>201</v>
      </c>
      <c r="N27" s="1">
        <v>1.0900000000000001</v>
      </c>
      <c r="O27" s="1">
        <v>750</v>
      </c>
      <c r="P27" s="1">
        <v>11.5</v>
      </c>
      <c r="Q27" s="1" t="s">
        <v>38</v>
      </c>
      <c r="R27" s="1" t="s">
        <v>61</v>
      </c>
      <c r="S27" s="1" t="s">
        <v>68</v>
      </c>
      <c r="T27" s="1"/>
      <c r="U27" s="1" t="s">
        <v>53</v>
      </c>
      <c r="V27" s="1" t="s">
        <v>202</v>
      </c>
      <c r="W27" s="1" t="s">
        <v>203</v>
      </c>
      <c r="X27" s="1" t="s">
        <v>175</v>
      </c>
      <c r="Y27" s="1" t="s">
        <v>180</v>
      </c>
      <c r="Z27" s="1" t="s">
        <v>46</v>
      </c>
      <c r="AA27" s="1"/>
      <c r="AB27" s="1" t="s">
        <v>44</v>
      </c>
      <c r="AC27" s="1" t="s">
        <v>45</v>
      </c>
      <c r="AD27" s="1" t="s">
        <v>43</v>
      </c>
      <c r="AE27" s="1" t="s">
        <v>43</v>
      </c>
      <c r="AF27" s="1"/>
      <c r="AG27" s="1" t="s">
        <v>43</v>
      </c>
      <c r="AH27" s="2">
        <v>44510</v>
      </c>
    </row>
    <row r="28" spans="1:34" x14ac:dyDescent="0.3">
      <c r="A28" s="1">
        <v>3164901</v>
      </c>
      <c r="B28" s="1">
        <v>38.06</v>
      </c>
      <c r="C28" s="1">
        <v>79.900000000000006</v>
      </c>
      <c r="D28" s="1">
        <v>129</v>
      </c>
      <c r="E28" s="1" t="s">
        <v>43</v>
      </c>
      <c r="F28" s="1">
        <v>0</v>
      </c>
      <c r="G28" s="1" t="s">
        <v>204</v>
      </c>
      <c r="H28" s="1" t="s">
        <v>205</v>
      </c>
      <c r="I28" s="1" t="str">
        <f>HYPERLINK("https://www.systembolaget.se/produkt/ol/poppels-bryggeri-3164901/","https://www.systembolaget.se/produkt/ol/poppels-bryggeri-3164901/")</f>
        <v>https://www.systembolaget.se/produkt/ol/poppels-bryggeri-3164901/</v>
      </c>
      <c r="J28" s="1"/>
      <c r="K28" s="1">
        <v>38.06</v>
      </c>
      <c r="L28" s="2">
        <v>46125</v>
      </c>
      <c r="M28" s="1" t="s">
        <v>206</v>
      </c>
      <c r="N28" s="1">
        <v>0.56000000000000005</v>
      </c>
      <c r="O28" s="1">
        <v>750</v>
      </c>
      <c r="P28" s="1">
        <v>6</v>
      </c>
      <c r="Q28" s="1" t="s">
        <v>107</v>
      </c>
      <c r="R28" s="1" t="s">
        <v>207</v>
      </c>
      <c r="S28" s="1" t="s">
        <v>208</v>
      </c>
      <c r="T28" s="1"/>
      <c r="U28" s="1" t="s">
        <v>110</v>
      </c>
      <c r="V28" s="1" t="s">
        <v>136</v>
      </c>
      <c r="W28" s="1" t="s">
        <v>209</v>
      </c>
      <c r="X28" s="1" t="s">
        <v>204</v>
      </c>
      <c r="Y28" s="1" t="s">
        <v>210</v>
      </c>
      <c r="Z28" s="1" t="s">
        <v>43</v>
      </c>
      <c r="AA28" s="1"/>
      <c r="AB28" s="1" t="s">
        <v>44</v>
      </c>
      <c r="AC28" s="1" t="s">
        <v>115</v>
      </c>
      <c r="AD28" s="1" t="s">
        <v>43</v>
      </c>
      <c r="AE28" s="1" t="s">
        <v>43</v>
      </c>
      <c r="AF28" s="1"/>
      <c r="AG28" s="1" t="s">
        <v>43</v>
      </c>
      <c r="AH28" s="2">
        <v>46146</v>
      </c>
    </row>
    <row r="29" spans="1:34" x14ac:dyDescent="0.3">
      <c r="A29" s="1">
        <v>149515</v>
      </c>
      <c r="B29" s="1">
        <v>37.74</v>
      </c>
      <c r="C29" s="1">
        <v>9.9</v>
      </c>
      <c r="D29" s="1">
        <v>15.9</v>
      </c>
      <c r="E29" s="1" t="s">
        <v>43</v>
      </c>
      <c r="F29" s="1">
        <v>24</v>
      </c>
      <c r="G29" s="1" t="s">
        <v>211</v>
      </c>
      <c r="H29" s="1" t="s">
        <v>212</v>
      </c>
      <c r="I29" s="1" t="str">
        <f>HYPERLINK("https://www.systembolaget.se/produkt/cider-blanddrycker/vikbo-cider-149515/","https://www.systembolaget.se/produkt/cider-blanddrycker/vikbo-cider-149515/")</f>
        <v>https://www.systembolaget.se/produkt/cider-blanddrycker/vikbo-cider-149515/</v>
      </c>
      <c r="J29" s="1">
        <v>36.130000000000003</v>
      </c>
      <c r="K29" s="1">
        <v>37.74</v>
      </c>
      <c r="L29" s="2">
        <v>45789</v>
      </c>
      <c r="M29" s="1" t="s">
        <v>213</v>
      </c>
      <c r="N29" s="1">
        <v>1.5</v>
      </c>
      <c r="O29" s="1">
        <v>330</v>
      </c>
      <c r="P29" s="1">
        <v>4.5</v>
      </c>
      <c r="Q29" s="1" t="s">
        <v>157</v>
      </c>
      <c r="R29" s="1" t="s">
        <v>158</v>
      </c>
      <c r="S29" s="1" t="s">
        <v>159</v>
      </c>
      <c r="T29" s="1"/>
      <c r="U29" s="1" t="s">
        <v>110</v>
      </c>
      <c r="V29" s="1"/>
      <c r="W29" s="1"/>
      <c r="X29" s="1" t="s">
        <v>214</v>
      </c>
      <c r="Y29" s="1" t="s">
        <v>215</v>
      </c>
      <c r="Z29" s="1" t="s">
        <v>43</v>
      </c>
      <c r="AA29" s="1"/>
      <c r="AB29" s="1" t="s">
        <v>114</v>
      </c>
      <c r="AC29" s="1" t="s">
        <v>45</v>
      </c>
      <c r="AD29" s="1" t="s">
        <v>43</v>
      </c>
      <c r="AE29" s="1" t="s">
        <v>43</v>
      </c>
      <c r="AF29" s="1">
        <v>130</v>
      </c>
      <c r="AG29" s="1" t="s">
        <v>43</v>
      </c>
      <c r="AH29" s="2">
        <v>45810</v>
      </c>
    </row>
    <row r="30" spans="1:34" x14ac:dyDescent="0.3">
      <c r="A30" s="1">
        <v>5585101</v>
      </c>
      <c r="B30" s="1">
        <v>37.74</v>
      </c>
      <c r="C30" s="1">
        <v>99</v>
      </c>
      <c r="D30" s="1">
        <v>159</v>
      </c>
      <c r="E30" s="1" t="s">
        <v>43</v>
      </c>
      <c r="F30" s="1">
        <v>0</v>
      </c>
      <c r="G30" s="1" t="s">
        <v>216</v>
      </c>
      <c r="H30" s="1" t="s">
        <v>82</v>
      </c>
      <c r="I30" s="1" t="str">
        <f>HYPERLINK("https://www.systembolaget.se/produkt/vin/les-polissons-5585101/","https://www.systembolaget.se/produkt/vin/les-polissons-5585101/")</f>
        <v>https://www.systembolaget.se/produkt/vin/les-polissons-5585101/</v>
      </c>
      <c r="J30" s="1">
        <v>37.74</v>
      </c>
      <c r="K30" s="1">
        <v>37.74</v>
      </c>
      <c r="L30" s="2">
        <v>45389</v>
      </c>
      <c r="M30" s="1" t="s">
        <v>217</v>
      </c>
      <c r="N30" s="1">
        <v>0.95</v>
      </c>
      <c r="O30" s="1">
        <v>750</v>
      </c>
      <c r="P30" s="1">
        <v>12.5</v>
      </c>
      <c r="Q30" s="1" t="s">
        <v>38</v>
      </c>
      <c r="R30" s="1" t="s">
        <v>52</v>
      </c>
      <c r="S30" s="1"/>
      <c r="T30" s="1"/>
      <c r="U30" s="1" t="s">
        <v>101</v>
      </c>
      <c r="V30" s="1"/>
      <c r="W30" s="1"/>
      <c r="X30" s="1" t="s">
        <v>218</v>
      </c>
      <c r="Y30" s="1" t="s">
        <v>219</v>
      </c>
      <c r="Z30" s="1" t="s">
        <v>46</v>
      </c>
      <c r="AA30" s="1">
        <v>2021</v>
      </c>
      <c r="AB30" s="1" t="s">
        <v>77</v>
      </c>
      <c r="AC30" s="1" t="s">
        <v>45</v>
      </c>
      <c r="AD30" s="1" t="s">
        <v>43</v>
      </c>
      <c r="AE30" s="1" t="s">
        <v>43</v>
      </c>
      <c r="AF30" s="1"/>
      <c r="AG30" s="1" t="s">
        <v>43</v>
      </c>
      <c r="AH30" s="2">
        <v>45082</v>
      </c>
    </row>
    <row r="31" spans="1:34" x14ac:dyDescent="0.3">
      <c r="A31" s="1">
        <v>7258501</v>
      </c>
      <c r="B31" s="1">
        <v>37.74</v>
      </c>
      <c r="C31" s="1">
        <v>99</v>
      </c>
      <c r="D31" s="1">
        <v>159</v>
      </c>
      <c r="E31" s="1" t="s">
        <v>43</v>
      </c>
      <c r="F31" s="1">
        <v>0</v>
      </c>
      <c r="G31" s="1" t="s">
        <v>220</v>
      </c>
      <c r="H31" s="1" t="s">
        <v>221</v>
      </c>
      <c r="I31" s="1" t="str">
        <f>HYPERLINK("https://www.systembolaget.se/produkt/vin/cave-de-turckheim-7258501/","https://www.systembolaget.se/produkt/vin/cave-de-turckheim-7258501/")</f>
        <v>https://www.systembolaget.se/produkt/vin/cave-de-turckheim-7258501/</v>
      </c>
      <c r="J31" s="1">
        <v>37.74</v>
      </c>
      <c r="K31" s="1">
        <v>37.74</v>
      </c>
      <c r="L31" s="2">
        <v>45444</v>
      </c>
      <c r="M31" s="1" t="s">
        <v>222</v>
      </c>
      <c r="N31" s="1">
        <v>0.95</v>
      </c>
      <c r="O31" s="1">
        <v>750</v>
      </c>
      <c r="P31" s="1">
        <v>12.5</v>
      </c>
      <c r="Q31" s="1" t="s">
        <v>38</v>
      </c>
      <c r="R31" s="1" t="s">
        <v>39</v>
      </c>
      <c r="S31" s="1"/>
      <c r="T31" s="1"/>
      <c r="U31" s="1" t="s">
        <v>101</v>
      </c>
      <c r="V31" s="1" t="s">
        <v>223</v>
      </c>
      <c r="W31" s="1"/>
      <c r="X31" s="1" t="s">
        <v>220</v>
      </c>
      <c r="Y31" s="1" t="s">
        <v>219</v>
      </c>
      <c r="Z31" s="1" t="s">
        <v>46</v>
      </c>
      <c r="AA31" s="1">
        <v>2020</v>
      </c>
      <c r="AB31" s="1" t="s">
        <v>44</v>
      </c>
      <c r="AC31" s="1" t="s">
        <v>45</v>
      </c>
      <c r="AD31" s="1" t="s">
        <v>43</v>
      </c>
      <c r="AE31" s="1" t="s">
        <v>43</v>
      </c>
      <c r="AF31" s="1"/>
      <c r="AG31" s="1" t="s">
        <v>43</v>
      </c>
      <c r="AH31" s="2">
        <v>41183</v>
      </c>
    </row>
    <row r="32" spans="1:34" x14ac:dyDescent="0.3">
      <c r="A32" s="1">
        <v>7313001</v>
      </c>
      <c r="B32" s="1">
        <v>37.590000000000003</v>
      </c>
      <c r="C32" s="1">
        <v>249</v>
      </c>
      <c r="D32" s="1">
        <v>399</v>
      </c>
      <c r="E32" s="1" t="s">
        <v>43</v>
      </c>
      <c r="F32" s="1">
        <v>0</v>
      </c>
      <c r="G32" s="1" t="s">
        <v>224</v>
      </c>
      <c r="H32" s="1" t="s">
        <v>225</v>
      </c>
      <c r="I32" s="1" t="str">
        <f>HYPERLINK("https://www.systembolaget.se/produkt/vin/le-haut-de-la-butte-7313001/","https://www.systembolaget.se/produkt/vin/le-haut-de-la-butte-7313001/")</f>
        <v>https://www.systembolaget.se/produkt/vin/le-haut-de-la-butte-7313001/</v>
      </c>
      <c r="J32" s="1"/>
      <c r="K32" s="1">
        <v>37.590000000000003</v>
      </c>
      <c r="L32" s="2">
        <v>46188</v>
      </c>
      <c r="M32" s="1" t="s">
        <v>226</v>
      </c>
      <c r="N32" s="1">
        <v>0.39</v>
      </c>
      <c r="O32" s="1">
        <v>750</v>
      </c>
      <c r="P32" s="1">
        <v>13</v>
      </c>
      <c r="Q32" s="1" t="s">
        <v>38</v>
      </c>
      <c r="R32" s="1" t="s">
        <v>52</v>
      </c>
      <c r="S32" s="1"/>
      <c r="T32" s="1"/>
      <c r="U32" s="1" t="s">
        <v>101</v>
      </c>
      <c r="V32" s="1" t="s">
        <v>227</v>
      </c>
      <c r="W32" s="1" t="s">
        <v>228</v>
      </c>
      <c r="X32" s="1" t="s">
        <v>225</v>
      </c>
      <c r="Y32" s="1" t="s">
        <v>145</v>
      </c>
      <c r="Z32" s="1" t="s">
        <v>43</v>
      </c>
      <c r="AA32" s="1">
        <v>2023</v>
      </c>
      <c r="AB32" s="1" t="s">
        <v>44</v>
      </c>
      <c r="AC32" s="1" t="s">
        <v>45</v>
      </c>
      <c r="AD32" s="1" t="s">
        <v>43</v>
      </c>
      <c r="AE32" s="1" t="s">
        <v>43</v>
      </c>
      <c r="AF32" s="1"/>
      <c r="AG32" s="1" t="s">
        <v>43</v>
      </c>
      <c r="AH32" s="2">
        <v>46195</v>
      </c>
    </row>
    <row r="33" spans="1:34" x14ac:dyDescent="0.3">
      <c r="A33" s="1">
        <v>7968801</v>
      </c>
      <c r="B33" s="1">
        <v>37.590000000000003</v>
      </c>
      <c r="C33" s="1">
        <v>249</v>
      </c>
      <c r="D33" s="1">
        <v>399</v>
      </c>
      <c r="E33" s="1" t="s">
        <v>43</v>
      </c>
      <c r="F33" s="1">
        <v>0</v>
      </c>
      <c r="G33" s="1" t="s">
        <v>229</v>
      </c>
      <c r="H33" s="1" t="s">
        <v>225</v>
      </c>
      <c r="I33" s="1" t="str">
        <f>HYPERLINK("https://www.systembolaget.se/produkt/vin/bretonniere-7968801/","https://www.systembolaget.se/produkt/vin/bretonniere-7968801/")</f>
        <v>https://www.systembolaget.se/produkt/vin/bretonniere-7968801/</v>
      </c>
      <c r="J33" s="1"/>
      <c r="K33" s="1">
        <v>37.590000000000003</v>
      </c>
      <c r="L33" s="2">
        <v>46189</v>
      </c>
      <c r="M33" s="1" t="s">
        <v>226</v>
      </c>
      <c r="N33" s="1">
        <v>0.36</v>
      </c>
      <c r="O33" s="1">
        <v>750</v>
      </c>
      <c r="P33" s="1">
        <v>12</v>
      </c>
      <c r="Q33" s="1" t="s">
        <v>38</v>
      </c>
      <c r="R33" s="1" t="s">
        <v>39</v>
      </c>
      <c r="S33" s="1"/>
      <c r="T33" s="1"/>
      <c r="U33" s="1" t="s">
        <v>101</v>
      </c>
      <c r="V33" s="1"/>
      <c r="W33" s="1"/>
      <c r="X33" s="1" t="s">
        <v>225</v>
      </c>
      <c r="Y33" s="1" t="s">
        <v>145</v>
      </c>
      <c r="Z33" s="1" t="s">
        <v>43</v>
      </c>
      <c r="AA33" s="1">
        <v>2023</v>
      </c>
      <c r="AB33" s="1" t="s">
        <v>44</v>
      </c>
      <c r="AC33" s="1" t="s">
        <v>45</v>
      </c>
      <c r="AD33" s="1" t="s">
        <v>43</v>
      </c>
      <c r="AE33" s="1" t="s">
        <v>43</v>
      </c>
      <c r="AF33" s="1"/>
      <c r="AG33" s="1" t="s">
        <v>43</v>
      </c>
      <c r="AH33" s="2">
        <v>46196</v>
      </c>
    </row>
    <row r="34" spans="1:34" x14ac:dyDescent="0.3">
      <c r="A34" s="1">
        <v>249821</v>
      </c>
      <c r="B34" s="1">
        <v>37.229999999999997</v>
      </c>
      <c r="C34" s="1">
        <v>59</v>
      </c>
      <c r="D34" s="1">
        <v>94</v>
      </c>
      <c r="E34" s="1" t="s">
        <v>43</v>
      </c>
      <c r="F34" s="1">
        <v>0</v>
      </c>
      <c r="G34" s="1" t="s">
        <v>230</v>
      </c>
      <c r="H34" s="1" t="s">
        <v>231</v>
      </c>
      <c r="I34" s="1" t="str">
        <f>HYPERLINK("https://www.systembolaget.se/produkt/vin/yoga-249821/","https://www.systembolaget.se/produkt/vin/yoga-249821/")</f>
        <v>https://www.systembolaget.se/produkt/vin/yoga-249821/</v>
      </c>
      <c r="J34" s="1">
        <v>37.229999999999997</v>
      </c>
      <c r="K34" s="1">
        <v>37.229999999999997</v>
      </c>
      <c r="L34" s="2">
        <v>45482</v>
      </c>
      <c r="M34" s="1" t="s">
        <v>232</v>
      </c>
      <c r="N34" s="1">
        <v>1.72</v>
      </c>
      <c r="O34" s="1">
        <v>750</v>
      </c>
      <c r="P34" s="1">
        <v>13.5</v>
      </c>
      <c r="Q34" s="1" t="s">
        <v>38</v>
      </c>
      <c r="R34" s="1" t="s">
        <v>52</v>
      </c>
      <c r="S34" s="1" t="s">
        <v>84</v>
      </c>
      <c r="T34" s="1"/>
      <c r="U34" s="1" t="s">
        <v>73</v>
      </c>
      <c r="V34" s="1" t="s">
        <v>74</v>
      </c>
      <c r="W34" s="1"/>
      <c r="X34" s="1" t="s">
        <v>233</v>
      </c>
      <c r="Y34" s="1" t="s">
        <v>175</v>
      </c>
      <c r="Z34" s="1" t="s">
        <v>43</v>
      </c>
      <c r="AA34" s="1">
        <v>2022</v>
      </c>
      <c r="AB34" s="1" t="s">
        <v>181</v>
      </c>
      <c r="AC34" s="1" t="s">
        <v>45</v>
      </c>
      <c r="AD34" s="1" t="s">
        <v>43</v>
      </c>
      <c r="AE34" s="1" t="s">
        <v>43</v>
      </c>
      <c r="AF34" s="1">
        <v>5</v>
      </c>
      <c r="AG34" s="1" t="s">
        <v>43</v>
      </c>
      <c r="AH34" s="2">
        <v>44900</v>
      </c>
    </row>
    <row r="35" spans="1:34" x14ac:dyDescent="0.3">
      <c r="A35" s="1">
        <v>9180501</v>
      </c>
      <c r="B35" s="1">
        <v>37.04</v>
      </c>
      <c r="C35" s="1">
        <v>119</v>
      </c>
      <c r="D35" s="1">
        <v>189</v>
      </c>
      <c r="E35" s="1" t="s">
        <v>43</v>
      </c>
      <c r="F35" s="1">
        <v>0</v>
      </c>
      <c r="G35" s="1" t="s">
        <v>234</v>
      </c>
      <c r="H35" s="1" t="s">
        <v>235</v>
      </c>
      <c r="I35" s="1" t="str">
        <f>HYPERLINK("https://www.systembolaget.se/produkt/vin/killer-red-9180501/","https://www.systembolaget.se/produkt/vin/killer-red-9180501/")</f>
        <v>https://www.systembolaget.se/produkt/vin/killer-red-9180501/</v>
      </c>
      <c r="J35" s="1">
        <v>36.36</v>
      </c>
      <c r="K35" s="1">
        <v>37.04</v>
      </c>
      <c r="L35" s="2">
        <v>45452</v>
      </c>
      <c r="M35" s="1" t="s">
        <v>236</v>
      </c>
      <c r="N35" s="1">
        <v>0.91</v>
      </c>
      <c r="O35" s="1">
        <v>750</v>
      </c>
      <c r="P35" s="1">
        <v>14.5</v>
      </c>
      <c r="Q35" s="1" t="s">
        <v>38</v>
      </c>
      <c r="R35" s="1" t="s">
        <v>52</v>
      </c>
      <c r="S35" s="1"/>
      <c r="T35" s="1"/>
      <c r="U35" s="1" t="s">
        <v>73</v>
      </c>
      <c r="V35" s="1" t="s">
        <v>237</v>
      </c>
      <c r="W35" s="1" t="s">
        <v>238</v>
      </c>
      <c r="X35" s="1" t="s">
        <v>234</v>
      </c>
      <c r="Y35" s="1" t="s">
        <v>239</v>
      </c>
      <c r="Z35" s="1" t="s">
        <v>43</v>
      </c>
      <c r="AA35" s="1">
        <v>2019</v>
      </c>
      <c r="AB35" s="1" t="s">
        <v>44</v>
      </c>
      <c r="AC35" s="1" t="s">
        <v>45</v>
      </c>
      <c r="AD35" s="1" t="s">
        <v>43</v>
      </c>
      <c r="AE35" s="1" t="s">
        <v>43</v>
      </c>
      <c r="AF35" s="1"/>
      <c r="AG35" s="1" t="s">
        <v>43</v>
      </c>
      <c r="AH35" s="2">
        <v>45366</v>
      </c>
    </row>
    <row r="36" spans="1:34" x14ac:dyDescent="0.3">
      <c r="A36" s="1">
        <v>8806803</v>
      </c>
      <c r="B36" s="1">
        <v>35.840000000000003</v>
      </c>
      <c r="C36" s="1">
        <v>17.899999999999999</v>
      </c>
      <c r="D36" s="1">
        <v>27.9</v>
      </c>
      <c r="E36" s="1" t="s">
        <v>43</v>
      </c>
      <c r="F36" s="1">
        <v>24</v>
      </c>
      <c r="G36" s="1" t="s">
        <v>240</v>
      </c>
      <c r="H36" s="1" t="s">
        <v>241</v>
      </c>
      <c r="I36" s="1" t="str">
        <f>HYPERLINK("https://www.systembolaget.se/produkt/ol/charro-8806803/","https://www.systembolaget.se/produkt/ol/charro-8806803/")</f>
        <v>https://www.systembolaget.se/produkt/ol/charro-8806803/</v>
      </c>
      <c r="J36" s="1">
        <v>30.89</v>
      </c>
      <c r="K36" s="1">
        <v>35.840000000000003</v>
      </c>
      <c r="L36" s="2">
        <v>45810</v>
      </c>
      <c r="M36" s="1" t="s">
        <v>242</v>
      </c>
      <c r="N36" s="1">
        <v>0.89</v>
      </c>
      <c r="O36" s="1">
        <v>355</v>
      </c>
      <c r="P36" s="1">
        <v>4.5</v>
      </c>
      <c r="Q36" s="1" t="s">
        <v>107</v>
      </c>
      <c r="R36" s="1" t="s">
        <v>134</v>
      </c>
      <c r="S36" s="1" t="s">
        <v>243</v>
      </c>
      <c r="T36" s="1"/>
      <c r="U36" s="1" t="s">
        <v>244</v>
      </c>
      <c r="V36" s="1"/>
      <c r="W36" s="1"/>
      <c r="X36" s="1" t="s">
        <v>245</v>
      </c>
      <c r="Y36" s="1" t="s">
        <v>215</v>
      </c>
      <c r="Z36" s="1" t="s">
        <v>43</v>
      </c>
      <c r="AA36" s="1"/>
      <c r="AB36" s="1" t="s">
        <v>44</v>
      </c>
      <c r="AC36" s="1" t="s">
        <v>45</v>
      </c>
      <c r="AD36" s="1" t="s">
        <v>43</v>
      </c>
      <c r="AE36" s="1" t="s">
        <v>43</v>
      </c>
      <c r="AF36" s="1"/>
      <c r="AG36" s="1" t="s">
        <v>43</v>
      </c>
      <c r="AH36" s="2">
        <v>45817</v>
      </c>
    </row>
    <row r="37" spans="1:34" x14ac:dyDescent="0.3">
      <c r="A37" s="1">
        <v>8878603</v>
      </c>
      <c r="B37" s="1">
        <v>35.840000000000003</v>
      </c>
      <c r="C37" s="1">
        <v>17.899999999999999</v>
      </c>
      <c r="D37" s="1">
        <v>27.9</v>
      </c>
      <c r="E37" s="1" t="s">
        <v>43</v>
      </c>
      <c r="F37" s="1">
        <v>24</v>
      </c>
      <c r="G37" s="1" t="s">
        <v>240</v>
      </c>
      <c r="H37" s="1" t="s">
        <v>246</v>
      </c>
      <c r="I37" s="1" t="str">
        <f>HYPERLINK("https://www.systembolaget.se/produkt/ol/charro-8878603/","https://www.systembolaget.se/produkt/ol/charro-8878603/")</f>
        <v>https://www.systembolaget.se/produkt/ol/charro-8878603/</v>
      </c>
      <c r="J37" s="1">
        <v>30.89</v>
      </c>
      <c r="K37" s="1">
        <v>35.840000000000003</v>
      </c>
      <c r="L37" s="2">
        <v>45810</v>
      </c>
      <c r="M37" s="1" t="s">
        <v>242</v>
      </c>
      <c r="N37" s="1">
        <v>0.89</v>
      </c>
      <c r="O37" s="1">
        <v>355</v>
      </c>
      <c r="P37" s="1">
        <v>4.5</v>
      </c>
      <c r="Q37" s="1" t="s">
        <v>107</v>
      </c>
      <c r="R37" s="1" t="s">
        <v>247</v>
      </c>
      <c r="S37" s="1" t="s">
        <v>248</v>
      </c>
      <c r="T37" s="1"/>
      <c r="U37" s="1" t="s">
        <v>244</v>
      </c>
      <c r="V37" s="1"/>
      <c r="W37" s="1"/>
      <c r="X37" s="1" t="s">
        <v>245</v>
      </c>
      <c r="Y37" s="1" t="s">
        <v>215</v>
      </c>
      <c r="Z37" s="1" t="s">
        <v>43</v>
      </c>
      <c r="AA37" s="1"/>
      <c r="AB37" s="1" t="s">
        <v>44</v>
      </c>
      <c r="AC37" s="1" t="s">
        <v>45</v>
      </c>
      <c r="AD37" s="1" t="s">
        <v>43</v>
      </c>
      <c r="AE37" s="1" t="s">
        <v>43</v>
      </c>
      <c r="AF37" s="1"/>
      <c r="AG37" s="1" t="s">
        <v>43</v>
      </c>
      <c r="AH37" s="2">
        <v>45817</v>
      </c>
    </row>
    <row r="38" spans="1:34" x14ac:dyDescent="0.3">
      <c r="A38" s="1">
        <v>1146315</v>
      </c>
      <c r="B38" s="1">
        <v>35.5</v>
      </c>
      <c r="C38" s="1">
        <v>10.9</v>
      </c>
      <c r="D38" s="1">
        <v>16.899999999999999</v>
      </c>
      <c r="E38" s="1" t="s">
        <v>43</v>
      </c>
      <c r="F38" s="1">
        <v>0</v>
      </c>
      <c r="G38" s="1" t="s">
        <v>249</v>
      </c>
      <c r="H38" s="1" t="s">
        <v>250</v>
      </c>
      <c r="I38" s="1" t="str">
        <f>HYPERLINK("https://www.systembolaget.se/produkt/ol/clockwork-1146315/","https://www.systembolaget.se/produkt/ol/clockwork-1146315/")</f>
        <v>https://www.systembolaget.se/produkt/ol/clockwork-1146315/</v>
      </c>
      <c r="J38" s="1">
        <v>39.11</v>
      </c>
      <c r="K38" s="1">
        <v>35.5</v>
      </c>
      <c r="L38" s="2">
        <v>45497</v>
      </c>
      <c r="M38" s="1" t="s">
        <v>251</v>
      </c>
      <c r="N38" s="1">
        <v>1.36</v>
      </c>
      <c r="O38" s="1">
        <v>330</v>
      </c>
      <c r="P38" s="1">
        <v>4.5</v>
      </c>
      <c r="Q38" s="1" t="s">
        <v>107</v>
      </c>
      <c r="R38" s="1" t="s">
        <v>108</v>
      </c>
      <c r="S38" s="1" t="s">
        <v>252</v>
      </c>
      <c r="T38" s="1"/>
      <c r="U38" s="1" t="s">
        <v>253</v>
      </c>
      <c r="V38" s="1" t="s">
        <v>254</v>
      </c>
      <c r="W38" s="1"/>
      <c r="X38" s="1" t="s">
        <v>255</v>
      </c>
      <c r="Y38" s="1" t="s">
        <v>256</v>
      </c>
      <c r="Z38" s="1" t="s">
        <v>43</v>
      </c>
      <c r="AA38" s="1"/>
      <c r="AB38" s="1" t="s">
        <v>114</v>
      </c>
      <c r="AC38" s="1" t="s">
        <v>90</v>
      </c>
      <c r="AD38" s="1" t="s">
        <v>43</v>
      </c>
      <c r="AE38" s="1" t="s">
        <v>43</v>
      </c>
      <c r="AF38" s="1"/>
      <c r="AG38" s="1" t="s">
        <v>43</v>
      </c>
      <c r="AH38" s="2">
        <v>43525</v>
      </c>
    </row>
    <row r="39" spans="1:34" x14ac:dyDescent="0.3">
      <c r="A39" s="1">
        <v>751901</v>
      </c>
      <c r="B39" s="1">
        <v>35.35</v>
      </c>
      <c r="C39" s="1">
        <v>64</v>
      </c>
      <c r="D39" s="1">
        <v>99</v>
      </c>
      <c r="E39" s="1" t="s">
        <v>43</v>
      </c>
      <c r="F39" s="1">
        <v>0</v>
      </c>
      <c r="G39" s="1" t="s">
        <v>257</v>
      </c>
      <c r="H39" s="1"/>
      <c r="I39" s="1" t="str">
        <f>HYPERLINK("https://www.systembolaget.se/produkt/vin/bio-riesling-751901/","https://www.systembolaget.se/produkt/vin/bio-riesling-751901/")</f>
        <v>https://www.systembolaget.se/produkt/vin/bio-riesling-751901/</v>
      </c>
      <c r="J39" s="1">
        <v>35.35</v>
      </c>
      <c r="K39" s="1">
        <v>35.35</v>
      </c>
      <c r="L39" s="2">
        <v>45407</v>
      </c>
      <c r="M39" s="1" t="s">
        <v>258</v>
      </c>
      <c r="N39" s="1">
        <v>1.46</v>
      </c>
      <c r="O39" s="1">
        <v>750</v>
      </c>
      <c r="P39" s="1">
        <v>12.5</v>
      </c>
      <c r="Q39" s="1" t="s">
        <v>38</v>
      </c>
      <c r="R39" s="1" t="s">
        <v>61</v>
      </c>
      <c r="S39" s="1" t="s">
        <v>259</v>
      </c>
      <c r="T39" s="1"/>
      <c r="U39" s="1" t="s">
        <v>119</v>
      </c>
      <c r="V39" s="1"/>
      <c r="W39" s="1"/>
      <c r="X39" s="1" t="s">
        <v>260</v>
      </c>
      <c r="Y39" s="1" t="s">
        <v>261</v>
      </c>
      <c r="Z39" s="1" t="s">
        <v>46</v>
      </c>
      <c r="AA39" s="1"/>
      <c r="AB39" s="1" t="s">
        <v>77</v>
      </c>
      <c r="AC39" s="1" t="s">
        <v>45</v>
      </c>
      <c r="AD39" s="1" t="s">
        <v>43</v>
      </c>
      <c r="AE39" s="1" t="s">
        <v>43</v>
      </c>
      <c r="AF39" s="1">
        <v>25</v>
      </c>
      <c r="AG39" s="1" t="s">
        <v>43</v>
      </c>
      <c r="AH39" s="2">
        <v>45170</v>
      </c>
    </row>
    <row r="40" spans="1:34" x14ac:dyDescent="0.3">
      <c r="A40" s="1">
        <v>7357902</v>
      </c>
      <c r="B40" s="1">
        <v>35.15</v>
      </c>
      <c r="C40" s="1">
        <v>369</v>
      </c>
      <c r="D40" s="1">
        <v>569</v>
      </c>
      <c r="E40" s="1" t="s">
        <v>43</v>
      </c>
      <c r="F40" s="1">
        <v>0</v>
      </c>
      <c r="G40" s="1" t="s">
        <v>262</v>
      </c>
      <c r="H40" s="1" t="s">
        <v>263</v>
      </c>
      <c r="I40" s="1" t="str">
        <f>HYPERLINK("https://www.systembolaget.se/produkt/vin/reciotto-della-valpolicella-7357902/","https://www.systembolaget.se/produkt/vin/reciotto-della-valpolicella-7357902/")</f>
        <v>https://www.systembolaget.se/produkt/vin/reciotto-della-valpolicella-7357902/</v>
      </c>
      <c r="J40" s="1">
        <v>35.15</v>
      </c>
      <c r="K40" s="1">
        <v>35.15</v>
      </c>
      <c r="L40" s="2">
        <v>45419</v>
      </c>
      <c r="M40" s="1" t="s">
        <v>264</v>
      </c>
      <c r="N40" s="1">
        <v>0.18</v>
      </c>
      <c r="O40" s="1">
        <v>500</v>
      </c>
      <c r="P40" s="1">
        <v>13.5</v>
      </c>
      <c r="Q40" s="1" t="s">
        <v>38</v>
      </c>
      <c r="R40" s="1" t="s">
        <v>52</v>
      </c>
      <c r="S40" s="1" t="s">
        <v>94</v>
      </c>
      <c r="T40" s="1"/>
      <c r="U40" s="1" t="s">
        <v>53</v>
      </c>
      <c r="V40" s="1" t="s">
        <v>202</v>
      </c>
      <c r="W40" s="1" t="s">
        <v>265</v>
      </c>
      <c r="X40" s="1" t="s">
        <v>266</v>
      </c>
      <c r="Y40" s="1" t="s">
        <v>219</v>
      </c>
      <c r="Z40" s="1" t="s">
        <v>46</v>
      </c>
      <c r="AA40" s="1">
        <v>2020</v>
      </c>
      <c r="AB40" s="1" t="s">
        <v>44</v>
      </c>
      <c r="AC40" s="1" t="s">
        <v>45</v>
      </c>
      <c r="AD40" s="1" t="s">
        <v>43</v>
      </c>
      <c r="AE40" s="1" t="s">
        <v>43</v>
      </c>
      <c r="AF40" s="1"/>
      <c r="AG40" s="1" t="s">
        <v>43</v>
      </c>
      <c r="AH40" s="2">
        <v>43787</v>
      </c>
    </row>
    <row r="41" spans="1:34" x14ac:dyDescent="0.3">
      <c r="A41" s="1">
        <v>3185135</v>
      </c>
      <c r="B41" s="1">
        <v>34.85</v>
      </c>
      <c r="C41" s="1">
        <v>21.5</v>
      </c>
      <c r="D41" s="1">
        <v>33</v>
      </c>
      <c r="E41" s="1" t="s">
        <v>43</v>
      </c>
      <c r="F41" s="1">
        <v>0</v>
      </c>
      <c r="G41" s="1" t="s">
        <v>104</v>
      </c>
      <c r="H41" s="1" t="s">
        <v>267</v>
      </c>
      <c r="I41" s="1" t="str">
        <f>HYPERLINK("https://www.systembolaget.se/produkt/ol/good-guys-brew-3185135/","https://www.systembolaget.se/produkt/ol/good-guys-brew-3185135/")</f>
        <v>https://www.systembolaget.se/produkt/ol/good-guys-brew-3185135/</v>
      </c>
      <c r="J41" s="1"/>
      <c r="K41" s="1">
        <v>34.85</v>
      </c>
      <c r="L41" s="2">
        <v>46062</v>
      </c>
      <c r="M41" s="1" t="s">
        <v>268</v>
      </c>
      <c r="N41" s="1">
        <v>1.1399999999999999</v>
      </c>
      <c r="O41" s="1">
        <v>330</v>
      </c>
      <c r="P41" s="1">
        <v>7.4</v>
      </c>
      <c r="Q41" s="1" t="s">
        <v>107</v>
      </c>
      <c r="R41" s="1" t="s">
        <v>108</v>
      </c>
      <c r="S41" s="1" t="s">
        <v>109</v>
      </c>
      <c r="T41" s="1"/>
      <c r="U41" s="1" t="s">
        <v>110</v>
      </c>
      <c r="V41" s="1" t="s">
        <v>111</v>
      </c>
      <c r="W41" s="1" t="s">
        <v>112</v>
      </c>
      <c r="X41" s="1" t="s">
        <v>104</v>
      </c>
      <c r="Y41" s="1" t="s">
        <v>113</v>
      </c>
      <c r="Z41" s="1" t="s">
        <v>43</v>
      </c>
      <c r="AA41" s="1"/>
      <c r="AB41" s="1" t="s">
        <v>114</v>
      </c>
      <c r="AC41" s="1" t="s">
        <v>115</v>
      </c>
      <c r="AD41" s="1" t="s">
        <v>43</v>
      </c>
      <c r="AE41" s="1" t="s">
        <v>43</v>
      </c>
      <c r="AF41" s="1"/>
      <c r="AG41" s="1" t="s">
        <v>43</v>
      </c>
      <c r="AH41" s="2">
        <v>46083</v>
      </c>
    </row>
    <row r="42" spans="1:34" x14ac:dyDescent="0.3">
      <c r="A42" s="1">
        <v>5690301</v>
      </c>
      <c r="B42" s="1">
        <v>34</v>
      </c>
      <c r="C42" s="1">
        <v>99</v>
      </c>
      <c r="D42" s="1">
        <v>150</v>
      </c>
      <c r="E42" s="1" t="s">
        <v>43</v>
      </c>
      <c r="F42" s="1">
        <v>0</v>
      </c>
      <c r="G42" s="1" t="s">
        <v>269</v>
      </c>
      <c r="H42" s="1" t="s">
        <v>270</v>
      </c>
      <c r="I42" s="1" t="str">
        <f>HYPERLINK("https://www.systembolaget.se/produkt/vin/fita-azul-5690301/","https://www.systembolaget.se/produkt/vin/fita-azul-5690301/")</f>
        <v>https://www.systembolaget.se/produkt/vin/fita-azul-5690301/</v>
      </c>
      <c r="J42" s="1">
        <v>33.56</v>
      </c>
      <c r="K42" s="1">
        <v>34</v>
      </c>
      <c r="L42" s="2">
        <v>45389</v>
      </c>
      <c r="M42" s="1" t="s">
        <v>271</v>
      </c>
      <c r="N42" s="1">
        <v>0.91</v>
      </c>
      <c r="O42" s="1">
        <v>750</v>
      </c>
      <c r="P42" s="1">
        <v>12</v>
      </c>
      <c r="Q42" s="1" t="s">
        <v>38</v>
      </c>
      <c r="R42" s="1" t="s">
        <v>61</v>
      </c>
      <c r="S42" s="1" t="s">
        <v>62</v>
      </c>
      <c r="T42" s="1"/>
      <c r="U42" s="1" t="s">
        <v>272</v>
      </c>
      <c r="V42" s="1"/>
      <c r="W42" s="1"/>
      <c r="X42" s="1" t="s">
        <v>273</v>
      </c>
      <c r="Y42" s="1" t="s">
        <v>274</v>
      </c>
      <c r="Z42" s="1" t="s">
        <v>43</v>
      </c>
      <c r="AA42" s="1"/>
      <c r="AB42" s="1" t="s">
        <v>44</v>
      </c>
      <c r="AC42" s="1" t="s">
        <v>45</v>
      </c>
      <c r="AD42" s="1" t="s">
        <v>43</v>
      </c>
      <c r="AE42" s="1" t="s">
        <v>43</v>
      </c>
      <c r="AF42" s="1"/>
      <c r="AG42" s="1" t="s">
        <v>43</v>
      </c>
      <c r="AH42" s="2">
        <v>44690</v>
      </c>
    </row>
    <row r="43" spans="1:34" x14ac:dyDescent="0.3">
      <c r="A43" s="1">
        <v>7423001</v>
      </c>
      <c r="B43" s="1">
        <v>33.71</v>
      </c>
      <c r="C43" s="1">
        <v>59</v>
      </c>
      <c r="D43" s="1">
        <v>89</v>
      </c>
      <c r="E43" s="1" t="s">
        <v>43</v>
      </c>
      <c r="F43" s="1">
        <v>0</v>
      </c>
      <c r="G43" s="1" t="s">
        <v>275</v>
      </c>
      <c r="H43" s="1" t="s">
        <v>276</v>
      </c>
      <c r="I43" s="1" t="str">
        <f>HYPERLINK("https://www.systembolaget.se/produkt/vin/laroche-7423001/","https://www.systembolaget.se/produkt/vin/laroche-7423001/")</f>
        <v>https://www.systembolaget.se/produkt/vin/laroche-7423001/</v>
      </c>
      <c r="J43" s="1">
        <v>33.71</v>
      </c>
      <c r="K43" s="1">
        <v>33.71</v>
      </c>
      <c r="L43" s="2">
        <v>45894</v>
      </c>
      <c r="M43" s="1" t="s">
        <v>277</v>
      </c>
      <c r="N43" s="1">
        <v>1.21</v>
      </c>
      <c r="O43" s="1">
        <v>750</v>
      </c>
      <c r="P43" s="1">
        <v>9.5</v>
      </c>
      <c r="Q43" s="1" t="s">
        <v>38</v>
      </c>
      <c r="R43" s="1" t="s">
        <v>39</v>
      </c>
      <c r="S43" s="1"/>
      <c r="T43" s="1"/>
      <c r="U43" s="1" t="s">
        <v>101</v>
      </c>
      <c r="V43" s="1" t="s">
        <v>185</v>
      </c>
      <c r="W43" s="1" t="s">
        <v>278</v>
      </c>
      <c r="X43" s="1" t="s">
        <v>275</v>
      </c>
      <c r="Y43" s="1" t="s">
        <v>89</v>
      </c>
      <c r="Z43" s="1" t="s">
        <v>43</v>
      </c>
      <c r="AA43" s="1"/>
      <c r="AB43" s="1" t="s">
        <v>77</v>
      </c>
      <c r="AC43" s="1" t="s">
        <v>45</v>
      </c>
      <c r="AD43" s="1" t="s">
        <v>43</v>
      </c>
      <c r="AE43" s="1" t="s">
        <v>43</v>
      </c>
      <c r="AF43" s="1"/>
      <c r="AG43" s="1" t="s">
        <v>43</v>
      </c>
      <c r="AH43" s="2">
        <v>45901</v>
      </c>
    </row>
    <row r="44" spans="1:34" x14ac:dyDescent="0.3">
      <c r="A44" s="1">
        <v>259201</v>
      </c>
      <c r="B44" s="1">
        <v>33.71</v>
      </c>
      <c r="C44" s="1">
        <v>59</v>
      </c>
      <c r="D44" s="1">
        <v>89</v>
      </c>
      <c r="E44" s="1" t="s">
        <v>43</v>
      </c>
      <c r="F44" s="1">
        <v>0</v>
      </c>
      <c r="G44" s="1" t="s">
        <v>279</v>
      </c>
      <c r="H44" s="1" t="s">
        <v>187</v>
      </c>
      <c r="I44" s="1" t="str">
        <f>HYPERLINK("https://www.systembolaget.se/produkt/vin/cabernet-sauvignon-grand-nuit-259201/","https://www.systembolaget.se/produkt/vin/cabernet-sauvignon-grand-nuit-259201/")</f>
        <v>https://www.systembolaget.se/produkt/vin/cabernet-sauvignon-grand-nuit-259201/</v>
      </c>
      <c r="J44" s="1">
        <v>33.71</v>
      </c>
      <c r="K44" s="1">
        <v>33.71</v>
      </c>
      <c r="L44" s="2">
        <v>45906</v>
      </c>
      <c r="M44" s="1" t="s">
        <v>277</v>
      </c>
      <c r="N44" s="1">
        <v>1.78</v>
      </c>
      <c r="O44" s="1">
        <v>750</v>
      </c>
      <c r="P44" s="1">
        <v>14</v>
      </c>
      <c r="Q44" s="1" t="s">
        <v>38</v>
      </c>
      <c r="R44" s="1" t="s">
        <v>52</v>
      </c>
      <c r="S44" s="1" t="s">
        <v>84</v>
      </c>
      <c r="T44" s="1"/>
      <c r="U44" s="1" t="s">
        <v>101</v>
      </c>
      <c r="V44" s="1" t="s">
        <v>185</v>
      </c>
      <c r="W44" s="1" t="s">
        <v>278</v>
      </c>
      <c r="X44" s="1" t="s">
        <v>187</v>
      </c>
      <c r="Y44" s="1" t="s">
        <v>188</v>
      </c>
      <c r="Z44" s="1" t="s">
        <v>46</v>
      </c>
      <c r="AA44" s="1">
        <v>2024</v>
      </c>
      <c r="AB44" s="1" t="s">
        <v>181</v>
      </c>
      <c r="AC44" s="1" t="s">
        <v>45</v>
      </c>
      <c r="AD44" s="1" t="s">
        <v>43</v>
      </c>
      <c r="AE44" s="1" t="s">
        <v>43</v>
      </c>
      <c r="AF44" s="1">
        <v>7</v>
      </c>
      <c r="AG44" s="1" t="s">
        <v>43</v>
      </c>
      <c r="AH44" s="2">
        <v>44809</v>
      </c>
    </row>
    <row r="45" spans="1:34" x14ac:dyDescent="0.3">
      <c r="A45" s="1">
        <v>200201</v>
      </c>
      <c r="B45" s="1">
        <v>33.61</v>
      </c>
      <c r="C45" s="1">
        <v>79</v>
      </c>
      <c r="D45" s="1">
        <v>119</v>
      </c>
      <c r="E45" s="1" t="s">
        <v>43</v>
      </c>
      <c r="F45" s="1">
        <v>12</v>
      </c>
      <c r="G45" s="1" t="s">
        <v>280</v>
      </c>
      <c r="H45" s="1" t="s">
        <v>281</v>
      </c>
      <c r="I45" s="1" t="str">
        <f>HYPERLINK("https://www.systembolaget.se/produkt/vin/tesoro-200201/","https://www.systembolaget.se/produkt/vin/tesoro-200201/")</f>
        <v>https://www.systembolaget.se/produkt/vin/tesoro-200201/</v>
      </c>
      <c r="J45" s="1">
        <v>33.61</v>
      </c>
      <c r="K45" s="1">
        <v>33.61</v>
      </c>
      <c r="L45" s="2">
        <v>45516</v>
      </c>
      <c r="M45" s="1" t="s">
        <v>282</v>
      </c>
      <c r="N45" s="1">
        <v>1.28</v>
      </c>
      <c r="O45" s="1">
        <v>750</v>
      </c>
      <c r="P45" s="1">
        <v>13.5</v>
      </c>
      <c r="Q45" s="1" t="s">
        <v>38</v>
      </c>
      <c r="R45" s="1" t="s">
        <v>39</v>
      </c>
      <c r="S45" s="1" t="s">
        <v>283</v>
      </c>
      <c r="T45" s="1"/>
      <c r="U45" s="1" t="s">
        <v>85</v>
      </c>
      <c r="V45" s="1" t="s">
        <v>86</v>
      </c>
      <c r="W45" s="1" t="s">
        <v>87</v>
      </c>
      <c r="X45" s="1" t="s">
        <v>284</v>
      </c>
      <c r="Y45" s="1" t="s">
        <v>285</v>
      </c>
      <c r="Z45" s="1" t="s">
        <v>43</v>
      </c>
      <c r="AA45" s="1">
        <v>2023</v>
      </c>
      <c r="AB45" s="1" t="s">
        <v>77</v>
      </c>
      <c r="AC45" s="1" t="s">
        <v>45</v>
      </c>
      <c r="AD45" s="1" t="s">
        <v>43</v>
      </c>
      <c r="AE45" s="1" t="s">
        <v>43</v>
      </c>
      <c r="AF45" s="1">
        <v>5</v>
      </c>
      <c r="AG45" s="1" t="s">
        <v>43</v>
      </c>
      <c r="AH45" s="2">
        <v>45537</v>
      </c>
    </row>
    <row r="46" spans="1:34" x14ac:dyDescent="0.3">
      <c r="A46" s="1">
        <v>2008901</v>
      </c>
      <c r="B46" s="1">
        <v>33.56</v>
      </c>
      <c r="C46" s="1">
        <v>99</v>
      </c>
      <c r="D46" s="1">
        <v>149</v>
      </c>
      <c r="E46" s="1" t="s">
        <v>43</v>
      </c>
      <c r="F46" s="1">
        <v>0</v>
      </c>
      <c r="G46" s="1" t="s">
        <v>286</v>
      </c>
      <c r="H46" s="1" t="s">
        <v>287</v>
      </c>
      <c r="I46" s="1" t="str">
        <f>HYPERLINK("https://www.systembolaget.se/produkt/vin/boschendal-2008901/","https://www.systembolaget.se/produkt/vin/boschendal-2008901/")</f>
        <v>https://www.systembolaget.se/produkt/vin/boschendal-2008901/</v>
      </c>
      <c r="J46" s="1">
        <v>33.56</v>
      </c>
      <c r="K46" s="1">
        <v>33.56</v>
      </c>
      <c r="L46" s="2">
        <v>45516</v>
      </c>
      <c r="M46" s="1" t="s">
        <v>288</v>
      </c>
      <c r="N46" s="1">
        <v>0.98</v>
      </c>
      <c r="O46" s="1">
        <v>750</v>
      </c>
      <c r="P46" s="1">
        <v>13</v>
      </c>
      <c r="Q46" s="1" t="s">
        <v>38</v>
      </c>
      <c r="R46" s="1" t="s">
        <v>39</v>
      </c>
      <c r="S46" s="1" t="s">
        <v>283</v>
      </c>
      <c r="T46" s="1"/>
      <c r="U46" s="1" t="s">
        <v>289</v>
      </c>
      <c r="V46" s="1" t="s">
        <v>290</v>
      </c>
      <c r="W46" s="1" t="s">
        <v>291</v>
      </c>
      <c r="X46" s="1" t="s">
        <v>292</v>
      </c>
      <c r="Y46" s="1" t="s">
        <v>285</v>
      </c>
      <c r="Z46" s="1" t="s">
        <v>43</v>
      </c>
      <c r="AA46" s="1">
        <v>2023</v>
      </c>
      <c r="AB46" s="1" t="s">
        <v>44</v>
      </c>
      <c r="AC46" s="1" t="s">
        <v>45</v>
      </c>
      <c r="AD46" s="1" t="s">
        <v>43</v>
      </c>
      <c r="AE46" s="1" t="s">
        <v>43</v>
      </c>
      <c r="AF46" s="1">
        <v>2</v>
      </c>
      <c r="AG46" s="1" t="s">
        <v>43</v>
      </c>
      <c r="AH46" s="2">
        <v>45537</v>
      </c>
    </row>
    <row r="47" spans="1:34" x14ac:dyDescent="0.3">
      <c r="A47" s="1">
        <v>7055501</v>
      </c>
      <c r="B47" s="1">
        <v>33.56</v>
      </c>
      <c r="C47" s="1">
        <v>99</v>
      </c>
      <c r="D47" s="1">
        <v>149</v>
      </c>
      <c r="E47" s="1" t="s">
        <v>43</v>
      </c>
      <c r="F47" s="1">
        <v>0</v>
      </c>
      <c r="G47" s="1" t="s">
        <v>293</v>
      </c>
      <c r="H47" s="1" t="s">
        <v>294</v>
      </c>
      <c r="I47" s="1" t="str">
        <f>HYPERLINK("https://www.systembolaget.se/produkt/vin/michael-bjorklund-7055501/","https://www.systembolaget.se/produkt/vin/michael-bjorklund-7055501/")</f>
        <v>https://www.systembolaget.se/produkt/vin/michael-bjorklund-7055501/</v>
      </c>
      <c r="J47" s="1">
        <v>33.56</v>
      </c>
      <c r="K47" s="1">
        <v>33.56</v>
      </c>
      <c r="L47" s="2">
        <v>45389</v>
      </c>
      <c r="M47" s="1" t="s">
        <v>288</v>
      </c>
      <c r="N47" s="1">
        <v>0.95</v>
      </c>
      <c r="O47" s="1">
        <v>750</v>
      </c>
      <c r="P47" s="1">
        <v>12.5</v>
      </c>
      <c r="Q47" s="1" t="s">
        <v>38</v>
      </c>
      <c r="R47" s="1" t="s">
        <v>39</v>
      </c>
      <c r="S47" s="1"/>
      <c r="T47" s="1"/>
      <c r="U47" s="1" t="s">
        <v>295</v>
      </c>
      <c r="V47" s="1" t="s">
        <v>296</v>
      </c>
      <c r="W47" s="1" t="s">
        <v>297</v>
      </c>
      <c r="X47" s="1" t="s">
        <v>298</v>
      </c>
      <c r="Y47" s="1" t="s">
        <v>299</v>
      </c>
      <c r="Z47" s="1" t="s">
        <v>46</v>
      </c>
      <c r="AA47" s="1">
        <v>2022</v>
      </c>
      <c r="AB47" s="1" t="s">
        <v>77</v>
      </c>
      <c r="AC47" s="1" t="s">
        <v>45</v>
      </c>
      <c r="AD47" s="1" t="s">
        <v>43</v>
      </c>
      <c r="AE47" s="1" t="s">
        <v>43</v>
      </c>
      <c r="AF47" s="1"/>
      <c r="AG47" s="1" t="s">
        <v>43</v>
      </c>
      <c r="AH47" s="2">
        <v>45265</v>
      </c>
    </row>
    <row r="48" spans="1:34" x14ac:dyDescent="0.3">
      <c r="A48" s="1">
        <v>5534401</v>
      </c>
      <c r="B48" s="1">
        <v>33.44</v>
      </c>
      <c r="C48" s="1">
        <v>199</v>
      </c>
      <c r="D48" s="1">
        <v>299</v>
      </c>
      <c r="E48" s="1" t="s">
        <v>43</v>
      </c>
      <c r="F48" s="1">
        <v>0</v>
      </c>
      <c r="G48" s="1" t="s">
        <v>300</v>
      </c>
      <c r="H48" s="1" t="s">
        <v>281</v>
      </c>
      <c r="I48" s="1" t="str">
        <f>HYPERLINK("https://www.systembolaget.se/produkt/vin/laetitia-estate-5534401/","https://www.systembolaget.se/produkt/vin/laetitia-estate-5534401/")</f>
        <v>https://www.systembolaget.se/produkt/vin/laetitia-estate-5534401/</v>
      </c>
      <c r="J48" s="1">
        <v>33.44</v>
      </c>
      <c r="K48" s="1">
        <v>33.44</v>
      </c>
      <c r="L48" s="2">
        <v>45389</v>
      </c>
      <c r="M48" s="1" t="s">
        <v>301</v>
      </c>
      <c r="N48" s="1">
        <v>0.51</v>
      </c>
      <c r="O48" s="1">
        <v>750</v>
      </c>
      <c r="P48" s="1">
        <v>13.5</v>
      </c>
      <c r="Q48" s="1" t="s">
        <v>38</v>
      </c>
      <c r="R48" s="1" t="s">
        <v>39</v>
      </c>
      <c r="S48" s="1"/>
      <c r="T48" s="1"/>
      <c r="U48" s="1" t="s">
        <v>73</v>
      </c>
      <c r="V48" s="1" t="s">
        <v>74</v>
      </c>
      <c r="W48" s="1" t="s">
        <v>302</v>
      </c>
      <c r="X48" s="1" t="s">
        <v>303</v>
      </c>
      <c r="Y48" s="1" t="s">
        <v>304</v>
      </c>
      <c r="Z48" s="1" t="s">
        <v>43</v>
      </c>
      <c r="AA48" s="1">
        <v>2020</v>
      </c>
      <c r="AB48" s="1" t="s">
        <v>44</v>
      </c>
      <c r="AC48" s="1" t="s">
        <v>45</v>
      </c>
      <c r="AD48" s="1" t="s">
        <v>43</v>
      </c>
      <c r="AE48" s="1" t="s">
        <v>43</v>
      </c>
      <c r="AF48" s="1"/>
      <c r="AG48" s="1" t="s">
        <v>43</v>
      </c>
      <c r="AH48" s="2">
        <v>44578</v>
      </c>
    </row>
    <row r="49" spans="1:34" x14ac:dyDescent="0.3">
      <c r="A49" s="1">
        <v>52004</v>
      </c>
      <c r="B49" s="1">
        <v>33.409999999999997</v>
      </c>
      <c r="C49" s="1">
        <v>299</v>
      </c>
      <c r="D49" s="1">
        <v>449</v>
      </c>
      <c r="E49" s="1" t="s">
        <v>43</v>
      </c>
      <c r="F49" s="1">
        <v>0</v>
      </c>
      <c r="G49" s="1" t="s">
        <v>305</v>
      </c>
      <c r="H49" s="1" t="s">
        <v>306</v>
      </c>
      <c r="I49" s="1" t="str">
        <f>HYPERLINK("https://www.systembolaget.se/produkt/sprit/midleton-irish-whiskey-52004/","https://www.systembolaget.se/produkt/sprit/midleton-irish-whiskey-52004/")</f>
        <v>https://www.systembolaget.se/produkt/sprit/midleton-irish-whiskey-52004/</v>
      </c>
      <c r="J49" s="1">
        <v>33.409999999999997</v>
      </c>
      <c r="K49" s="1">
        <v>33.409999999999997</v>
      </c>
      <c r="L49" s="2">
        <v>45888</v>
      </c>
      <c r="M49" s="1" t="s">
        <v>307</v>
      </c>
      <c r="N49" s="1">
        <v>0.28999999999999998</v>
      </c>
      <c r="O49" s="1">
        <v>200</v>
      </c>
      <c r="P49" s="1">
        <v>43</v>
      </c>
      <c r="Q49" s="1" t="s">
        <v>308</v>
      </c>
      <c r="R49" s="1" t="s">
        <v>309</v>
      </c>
      <c r="S49" s="1" t="s">
        <v>310</v>
      </c>
      <c r="T49" s="1"/>
      <c r="U49" s="1" t="s">
        <v>311</v>
      </c>
      <c r="V49" s="1"/>
      <c r="W49" s="1"/>
      <c r="X49" s="1" t="s">
        <v>312</v>
      </c>
      <c r="Y49" s="1" t="s">
        <v>313</v>
      </c>
      <c r="Z49" s="1" t="s">
        <v>43</v>
      </c>
      <c r="AA49" s="1"/>
      <c r="AB49" s="1" t="s">
        <v>314</v>
      </c>
      <c r="AC49" s="1" t="s">
        <v>90</v>
      </c>
      <c r="AD49" s="1" t="s">
        <v>43</v>
      </c>
      <c r="AE49" s="1" t="s">
        <v>43</v>
      </c>
      <c r="AF49" s="1"/>
      <c r="AG49" s="1" t="s">
        <v>43</v>
      </c>
      <c r="AH49" s="2">
        <v>45901</v>
      </c>
    </row>
    <row r="50" spans="1:34" x14ac:dyDescent="0.3">
      <c r="A50" s="1">
        <v>8445201</v>
      </c>
      <c r="B50" s="1">
        <v>33.200000000000003</v>
      </c>
      <c r="C50" s="1">
        <v>499</v>
      </c>
      <c r="D50" s="1">
        <v>747</v>
      </c>
      <c r="E50" s="1" t="s">
        <v>43</v>
      </c>
      <c r="F50" s="1">
        <v>0</v>
      </c>
      <c r="G50" s="1" t="s">
        <v>315</v>
      </c>
      <c r="H50" s="1" t="s">
        <v>316</v>
      </c>
      <c r="I50" s="1" t="str">
        <f>HYPERLINK("https://www.systembolaget.se/produkt/sprit/glengoyne-8445201/","https://www.systembolaget.se/produkt/sprit/glengoyne-8445201/")</f>
        <v>https://www.systembolaget.se/produkt/sprit/glengoyne-8445201/</v>
      </c>
      <c r="J50" s="1">
        <v>33.11</v>
      </c>
      <c r="K50" s="1">
        <v>33.200000000000003</v>
      </c>
      <c r="L50" s="2">
        <v>45763</v>
      </c>
      <c r="M50" s="1" t="s">
        <v>317</v>
      </c>
      <c r="N50" s="1">
        <v>0.67</v>
      </c>
      <c r="O50" s="1">
        <v>700</v>
      </c>
      <c r="P50" s="1">
        <v>48</v>
      </c>
      <c r="Q50" s="1" t="s">
        <v>308</v>
      </c>
      <c r="R50" s="1" t="s">
        <v>309</v>
      </c>
      <c r="S50" s="1" t="s">
        <v>318</v>
      </c>
      <c r="T50" s="1"/>
      <c r="U50" s="1" t="s">
        <v>253</v>
      </c>
      <c r="V50" s="1"/>
      <c r="W50" s="1"/>
      <c r="X50" s="1" t="s">
        <v>319</v>
      </c>
      <c r="Y50" s="1" t="s">
        <v>256</v>
      </c>
      <c r="Z50" s="1" t="s">
        <v>43</v>
      </c>
      <c r="AA50" s="1"/>
      <c r="AB50" s="1" t="s">
        <v>44</v>
      </c>
      <c r="AC50" s="1" t="s">
        <v>45</v>
      </c>
      <c r="AD50" s="1" t="s">
        <v>43</v>
      </c>
      <c r="AE50" s="1" t="s">
        <v>43</v>
      </c>
      <c r="AF50" s="1"/>
      <c r="AG50" s="1" t="s">
        <v>43</v>
      </c>
      <c r="AH50" s="2">
        <v>45770</v>
      </c>
    </row>
    <row r="51" spans="1:34" x14ac:dyDescent="0.3">
      <c r="A51" s="1">
        <v>3321002</v>
      </c>
      <c r="B51" s="1">
        <v>33</v>
      </c>
      <c r="C51" s="1">
        <v>199</v>
      </c>
      <c r="D51" s="1">
        <v>297</v>
      </c>
      <c r="E51" s="1" t="s">
        <v>43</v>
      </c>
      <c r="F51" s="1">
        <v>0</v>
      </c>
      <c r="G51" s="1" t="s">
        <v>320</v>
      </c>
      <c r="H51" s="1" t="s">
        <v>321</v>
      </c>
      <c r="I51" s="1" t="str">
        <f>HYPERLINK("https://www.systembolaget.se/produkt/sprit/olandsbranneri-3321002/","https://www.systembolaget.se/produkt/sprit/olandsbranneri-3321002/")</f>
        <v>https://www.systembolaget.se/produkt/sprit/olandsbranneri-3321002/</v>
      </c>
      <c r="J51" s="1">
        <v>30.42</v>
      </c>
      <c r="K51" s="1">
        <v>33</v>
      </c>
      <c r="L51" s="2">
        <v>45978</v>
      </c>
      <c r="M51" s="1" t="s">
        <v>322</v>
      </c>
      <c r="N51" s="1">
        <v>1.02</v>
      </c>
      <c r="O51" s="1">
        <v>500</v>
      </c>
      <c r="P51" s="1">
        <v>40.4</v>
      </c>
      <c r="Q51" s="1" t="s">
        <v>308</v>
      </c>
      <c r="R51" s="1" t="s">
        <v>323</v>
      </c>
      <c r="S51" s="1" t="s">
        <v>324</v>
      </c>
      <c r="T51" s="1"/>
      <c r="U51" s="1" t="s">
        <v>110</v>
      </c>
      <c r="V51" s="1" t="s">
        <v>325</v>
      </c>
      <c r="W51" s="1" t="s">
        <v>326</v>
      </c>
      <c r="X51" s="1" t="s">
        <v>320</v>
      </c>
      <c r="Y51" s="1" t="s">
        <v>327</v>
      </c>
      <c r="Z51" s="1" t="s">
        <v>43</v>
      </c>
      <c r="AA51" s="1"/>
      <c r="AB51" s="1" t="s">
        <v>44</v>
      </c>
      <c r="AC51" s="1" t="s">
        <v>115</v>
      </c>
      <c r="AD51" s="1" t="s">
        <v>46</v>
      </c>
      <c r="AE51" s="1" t="s">
        <v>43</v>
      </c>
      <c r="AF51" s="1">
        <v>5</v>
      </c>
      <c r="AG51" s="1" t="s">
        <v>43</v>
      </c>
      <c r="AH51" s="2">
        <v>45999</v>
      </c>
    </row>
    <row r="52" spans="1:34" x14ac:dyDescent="0.3">
      <c r="A52" s="1">
        <v>5166201</v>
      </c>
      <c r="B52" s="1">
        <v>31.45</v>
      </c>
      <c r="C52" s="1">
        <v>109</v>
      </c>
      <c r="D52" s="1">
        <v>159</v>
      </c>
      <c r="E52" s="1" t="s">
        <v>43</v>
      </c>
      <c r="F52" s="1">
        <v>0</v>
      </c>
      <c r="G52" s="1" t="s">
        <v>328</v>
      </c>
      <c r="H52" s="1" t="s">
        <v>329</v>
      </c>
      <c r="I52" s="1" t="str">
        <f>HYPERLINK("https://www.systembolaget.se/produkt/vin/villa-madeleine-5166201/","https://www.systembolaget.se/produkt/vin/villa-madeleine-5166201/")</f>
        <v>https://www.systembolaget.se/produkt/vin/villa-madeleine-5166201/</v>
      </c>
      <c r="J52" s="1">
        <v>26.85</v>
      </c>
      <c r="K52" s="1">
        <v>31.45</v>
      </c>
      <c r="L52" s="2">
        <v>45696</v>
      </c>
      <c r="M52" s="1" t="s">
        <v>330</v>
      </c>
      <c r="N52" s="1">
        <v>0.89</v>
      </c>
      <c r="O52" s="1">
        <v>750</v>
      </c>
      <c r="P52" s="1">
        <v>13</v>
      </c>
      <c r="Q52" s="1" t="s">
        <v>38</v>
      </c>
      <c r="R52" s="1" t="s">
        <v>52</v>
      </c>
      <c r="S52" s="1" t="s">
        <v>84</v>
      </c>
      <c r="T52" s="1"/>
      <c r="U52" s="1" t="s">
        <v>101</v>
      </c>
      <c r="V52" s="1" t="s">
        <v>331</v>
      </c>
      <c r="W52" s="1" t="s">
        <v>332</v>
      </c>
      <c r="X52" s="1" t="s">
        <v>333</v>
      </c>
      <c r="Y52" s="1" t="s">
        <v>334</v>
      </c>
      <c r="Z52" s="1" t="s">
        <v>43</v>
      </c>
      <c r="AA52" s="1">
        <v>2023</v>
      </c>
      <c r="AB52" s="1" t="s">
        <v>44</v>
      </c>
      <c r="AC52" s="1" t="s">
        <v>90</v>
      </c>
      <c r="AD52" s="1" t="s">
        <v>43</v>
      </c>
      <c r="AE52" s="1" t="s">
        <v>43</v>
      </c>
      <c r="AF52" s="1">
        <v>2</v>
      </c>
      <c r="AG52" s="1" t="s">
        <v>43</v>
      </c>
      <c r="AH52" s="2">
        <v>45717</v>
      </c>
    </row>
    <row r="53" spans="1:34" x14ac:dyDescent="0.3">
      <c r="A53" s="1">
        <v>7085301</v>
      </c>
      <c r="B53" s="1">
        <v>31.38</v>
      </c>
      <c r="C53" s="1">
        <v>199</v>
      </c>
      <c r="D53" s="1">
        <v>290</v>
      </c>
      <c r="E53" s="1" t="s">
        <v>43</v>
      </c>
      <c r="F53" s="1">
        <v>0</v>
      </c>
      <c r="G53" s="1" t="s">
        <v>335</v>
      </c>
      <c r="H53" s="1" t="s">
        <v>336</v>
      </c>
      <c r="I53" s="1" t="str">
        <f>HYPERLINK("https://www.systembolaget.se/produkt/vin/quinta-de-la-rosa-7085301/","https://www.systembolaget.se/produkt/vin/quinta-de-la-rosa-7085301/")</f>
        <v>https://www.systembolaget.se/produkt/vin/quinta-de-la-rosa-7085301/</v>
      </c>
      <c r="J53" s="1">
        <v>31.14</v>
      </c>
      <c r="K53" s="1">
        <v>31.38</v>
      </c>
      <c r="L53" s="2">
        <v>45987</v>
      </c>
      <c r="M53" s="1" t="s">
        <v>337</v>
      </c>
      <c r="N53" s="1">
        <v>0.73</v>
      </c>
      <c r="O53" s="1">
        <v>750</v>
      </c>
      <c r="P53" s="1">
        <v>19.5</v>
      </c>
      <c r="Q53" s="1" t="s">
        <v>38</v>
      </c>
      <c r="R53" s="1" t="s">
        <v>338</v>
      </c>
      <c r="S53" s="1" t="s">
        <v>339</v>
      </c>
      <c r="T53" s="1" t="s">
        <v>340</v>
      </c>
      <c r="U53" s="1" t="s">
        <v>272</v>
      </c>
      <c r="V53" s="1" t="s">
        <v>341</v>
      </c>
      <c r="W53" s="1" t="s">
        <v>342</v>
      </c>
      <c r="X53" s="1" t="s">
        <v>335</v>
      </c>
      <c r="Y53" s="1" t="s">
        <v>256</v>
      </c>
      <c r="Z53" s="1" t="s">
        <v>43</v>
      </c>
      <c r="AA53" s="1">
        <v>2018</v>
      </c>
      <c r="AB53" s="1" t="s">
        <v>77</v>
      </c>
      <c r="AC53" s="1" t="s">
        <v>45</v>
      </c>
      <c r="AD53" s="1" t="s">
        <v>43</v>
      </c>
      <c r="AE53" s="1" t="s">
        <v>43</v>
      </c>
      <c r="AF53" s="1"/>
      <c r="AG53" s="1" t="s">
        <v>43</v>
      </c>
      <c r="AH53" s="2">
        <v>45994</v>
      </c>
    </row>
    <row r="54" spans="1:34" x14ac:dyDescent="0.3">
      <c r="A54" s="1">
        <v>754502</v>
      </c>
      <c r="B54" s="1">
        <v>31.14</v>
      </c>
      <c r="C54" s="1">
        <v>199</v>
      </c>
      <c r="D54" s="1">
        <v>289</v>
      </c>
      <c r="E54" s="1" t="s">
        <v>43</v>
      </c>
      <c r="F54" s="1">
        <v>0</v>
      </c>
      <c r="G54" s="1" t="s">
        <v>343</v>
      </c>
      <c r="H54" s="1" t="s">
        <v>344</v>
      </c>
      <c r="I54" s="1" t="str">
        <f>HYPERLINK("https://www.systembolaget.se/produkt/vin/lanson-754502/","https://www.systembolaget.se/produkt/vin/lanson-754502/")</f>
        <v>https://www.systembolaget.se/produkt/vin/lanson-754502/</v>
      </c>
      <c r="J54" s="1">
        <v>23.17</v>
      </c>
      <c r="K54" s="1">
        <v>31.14</v>
      </c>
      <c r="L54" s="2">
        <v>45389</v>
      </c>
      <c r="M54" s="1" t="s">
        <v>345</v>
      </c>
      <c r="N54" s="1">
        <v>0.24</v>
      </c>
      <c r="O54" s="1">
        <v>375</v>
      </c>
      <c r="P54" s="1">
        <v>12.5</v>
      </c>
      <c r="Q54" s="1" t="s">
        <v>38</v>
      </c>
      <c r="R54" s="1" t="s">
        <v>61</v>
      </c>
      <c r="S54" s="1" t="s">
        <v>68</v>
      </c>
      <c r="T54" s="1"/>
      <c r="U54" s="1" t="s">
        <v>101</v>
      </c>
      <c r="V54" s="1" t="s">
        <v>346</v>
      </c>
      <c r="W54" s="1"/>
      <c r="X54" s="1" t="s">
        <v>343</v>
      </c>
      <c r="Y54" s="1" t="s">
        <v>256</v>
      </c>
      <c r="Z54" s="1" t="s">
        <v>43</v>
      </c>
      <c r="AA54" s="1"/>
      <c r="AB54" s="1" t="s">
        <v>44</v>
      </c>
      <c r="AC54" s="1" t="s">
        <v>45</v>
      </c>
      <c r="AD54" s="1" t="s">
        <v>43</v>
      </c>
      <c r="AE54" s="1" t="s">
        <v>43</v>
      </c>
      <c r="AF54" s="1"/>
      <c r="AG54" s="1" t="s">
        <v>43</v>
      </c>
      <c r="AH54" s="2">
        <v>45352</v>
      </c>
    </row>
    <row r="55" spans="1:34" x14ac:dyDescent="0.3">
      <c r="A55" s="1">
        <v>7504201</v>
      </c>
      <c r="B55" s="1">
        <v>31.01</v>
      </c>
      <c r="C55" s="1">
        <v>89</v>
      </c>
      <c r="D55" s="1">
        <v>129</v>
      </c>
      <c r="E55" s="1" t="s">
        <v>43</v>
      </c>
      <c r="F55" s="1">
        <v>0</v>
      </c>
      <c r="G55" s="1" t="s">
        <v>347</v>
      </c>
      <c r="H55" s="1" t="s">
        <v>348</v>
      </c>
      <c r="I55" s="1" t="str">
        <f>HYPERLINK("https://www.systembolaget.se/produkt/vin/toasty-barrel-7504201/","https://www.systembolaget.se/produkt/vin/toasty-barrel-7504201/")</f>
        <v>https://www.systembolaget.se/produkt/vin/toasty-barrel-7504201/</v>
      </c>
      <c r="J55" s="1"/>
      <c r="K55" s="1">
        <v>31.01</v>
      </c>
      <c r="L55" s="2">
        <v>46097</v>
      </c>
      <c r="M55" s="1" t="s">
        <v>349</v>
      </c>
      <c r="N55" s="1">
        <v>1.1399999999999999</v>
      </c>
      <c r="O55" s="1">
        <v>750</v>
      </c>
      <c r="P55" s="1">
        <v>13.5</v>
      </c>
      <c r="Q55" s="1" t="s">
        <v>38</v>
      </c>
      <c r="R55" s="1" t="s">
        <v>52</v>
      </c>
      <c r="S55" s="1"/>
      <c r="T55" s="1"/>
      <c r="U55" s="1" t="s">
        <v>73</v>
      </c>
      <c r="V55" s="1" t="s">
        <v>74</v>
      </c>
      <c r="W55" s="1"/>
      <c r="X55" s="1" t="s">
        <v>75</v>
      </c>
      <c r="Y55" s="1" t="s">
        <v>76</v>
      </c>
      <c r="Z55" s="1" t="s">
        <v>43</v>
      </c>
      <c r="AA55" s="1">
        <v>2023</v>
      </c>
      <c r="AB55" s="1" t="s">
        <v>77</v>
      </c>
      <c r="AC55" s="1" t="s">
        <v>45</v>
      </c>
      <c r="AD55" s="1" t="s">
        <v>43</v>
      </c>
      <c r="AE55" s="1" t="s">
        <v>43</v>
      </c>
      <c r="AF55" s="1"/>
      <c r="AG55" s="1" t="s">
        <v>43</v>
      </c>
      <c r="AH55" s="2">
        <v>46104</v>
      </c>
    </row>
    <row r="56" spans="1:34" x14ac:dyDescent="0.3">
      <c r="A56" s="1">
        <v>7859001</v>
      </c>
      <c r="B56" s="1">
        <v>30.3</v>
      </c>
      <c r="C56" s="1">
        <v>69</v>
      </c>
      <c r="D56" s="1">
        <v>99</v>
      </c>
      <c r="E56" s="1" t="s">
        <v>43</v>
      </c>
      <c r="F56" s="1">
        <v>0</v>
      </c>
      <c r="G56" s="1" t="s">
        <v>350</v>
      </c>
      <c r="H56" s="1" t="s">
        <v>351</v>
      </c>
      <c r="I56" s="1" t="str">
        <f>HYPERLINK("https://www.systembolaget.se/produkt/vin/arc-en-ciel-7859001/","https://www.systembolaget.se/produkt/vin/arc-en-ciel-7859001/")</f>
        <v>https://www.systembolaget.se/produkt/vin/arc-en-ciel-7859001/</v>
      </c>
      <c r="J56" s="1">
        <v>30.3</v>
      </c>
      <c r="K56" s="1">
        <v>30.3</v>
      </c>
      <c r="L56" s="2">
        <v>45401</v>
      </c>
      <c r="M56" s="1" t="s">
        <v>352</v>
      </c>
      <c r="N56" s="1">
        <v>1.96</v>
      </c>
      <c r="O56" s="1">
        <v>1000</v>
      </c>
      <c r="P56" s="1">
        <v>13.5</v>
      </c>
      <c r="Q56" s="1" t="s">
        <v>38</v>
      </c>
      <c r="R56" s="1" t="s">
        <v>39</v>
      </c>
      <c r="S56" s="1" t="s">
        <v>184</v>
      </c>
      <c r="T56" s="1"/>
      <c r="U56" s="1" t="s">
        <v>101</v>
      </c>
      <c r="V56" s="1"/>
      <c r="W56" s="1"/>
      <c r="X56" s="1" t="s">
        <v>353</v>
      </c>
      <c r="Y56" s="1" t="s">
        <v>353</v>
      </c>
      <c r="Z56" s="1" t="s">
        <v>43</v>
      </c>
      <c r="AA56" s="1">
        <v>2024</v>
      </c>
      <c r="AB56" s="1" t="s">
        <v>77</v>
      </c>
      <c r="AC56" s="1" t="s">
        <v>45</v>
      </c>
      <c r="AD56" s="1" t="s">
        <v>43</v>
      </c>
      <c r="AE56" s="1" t="s">
        <v>43</v>
      </c>
      <c r="AF56" s="1">
        <v>2</v>
      </c>
      <c r="AG56" s="1" t="s">
        <v>43</v>
      </c>
      <c r="AH56" s="2">
        <v>44075</v>
      </c>
    </row>
    <row r="57" spans="1:34" x14ac:dyDescent="0.3">
      <c r="A57" s="1">
        <v>5740401</v>
      </c>
      <c r="B57" s="1">
        <v>30.3</v>
      </c>
      <c r="C57" s="1">
        <v>69</v>
      </c>
      <c r="D57" s="1">
        <v>99</v>
      </c>
      <c r="E57" s="1" t="s">
        <v>43</v>
      </c>
      <c r="F57" s="1">
        <v>0</v>
      </c>
      <c r="G57" s="1" t="s">
        <v>354</v>
      </c>
      <c r="H57" s="1" t="s">
        <v>281</v>
      </c>
      <c r="I57" s="1" t="str">
        <f>HYPERLINK("https://www.systembolaget.se/produkt/vin/three-finger-jack-5740401/","https://www.systembolaget.se/produkt/vin/three-finger-jack-5740401/")</f>
        <v>https://www.systembolaget.se/produkt/vin/three-finger-jack-5740401/</v>
      </c>
      <c r="J57" s="1">
        <v>53.69</v>
      </c>
      <c r="K57" s="1">
        <v>30.3</v>
      </c>
      <c r="L57" s="2">
        <v>45389</v>
      </c>
      <c r="M57" s="1" t="s">
        <v>355</v>
      </c>
      <c r="N57" s="1">
        <v>1.58</v>
      </c>
      <c r="O57" s="1">
        <v>750</v>
      </c>
      <c r="P57" s="1">
        <v>14.5</v>
      </c>
      <c r="Q57" s="1" t="s">
        <v>38</v>
      </c>
      <c r="R57" s="1" t="s">
        <v>39</v>
      </c>
      <c r="S57" s="1" t="s">
        <v>283</v>
      </c>
      <c r="T57" s="1"/>
      <c r="U57" s="1" t="s">
        <v>73</v>
      </c>
      <c r="V57" s="1" t="s">
        <v>74</v>
      </c>
      <c r="W57" s="1"/>
      <c r="X57" s="1" t="s">
        <v>356</v>
      </c>
      <c r="Y57" s="1" t="s">
        <v>121</v>
      </c>
      <c r="Z57" s="1" t="s">
        <v>43</v>
      </c>
      <c r="AA57" s="1">
        <v>2023</v>
      </c>
      <c r="AB57" s="1" t="s">
        <v>44</v>
      </c>
      <c r="AC57" s="1" t="s">
        <v>45</v>
      </c>
      <c r="AD57" s="1" t="s">
        <v>43</v>
      </c>
      <c r="AE57" s="1" t="s">
        <v>43</v>
      </c>
      <c r="AF57" s="1">
        <v>6</v>
      </c>
      <c r="AG57" s="1" t="s">
        <v>43</v>
      </c>
      <c r="AH57" s="2">
        <v>44788</v>
      </c>
    </row>
    <row r="58" spans="1:34" x14ac:dyDescent="0.3">
      <c r="A58" s="1">
        <v>219101</v>
      </c>
      <c r="B58" s="1">
        <v>30.3</v>
      </c>
      <c r="C58" s="1">
        <v>69</v>
      </c>
      <c r="D58" s="1">
        <v>99</v>
      </c>
      <c r="E58" s="1" t="s">
        <v>43</v>
      </c>
      <c r="F58" s="1">
        <v>0</v>
      </c>
      <c r="G58" s="1" t="s">
        <v>357</v>
      </c>
      <c r="H58" s="1" t="s">
        <v>358</v>
      </c>
      <c r="I58" s="1" t="str">
        <f>HYPERLINK("https://www.systembolaget.se/produkt/vin/ritmo-latino-219101/","https://www.systembolaget.se/produkt/vin/ritmo-latino-219101/")</f>
        <v>https://www.systembolaget.se/produkt/vin/ritmo-latino-219101/</v>
      </c>
      <c r="J58" s="1">
        <v>40</v>
      </c>
      <c r="K58" s="1">
        <v>30.3</v>
      </c>
      <c r="L58" s="2">
        <v>45696</v>
      </c>
      <c r="M58" s="1" t="s">
        <v>359</v>
      </c>
      <c r="N58" s="1">
        <v>1.0900000000000001</v>
      </c>
      <c r="O58" s="1">
        <v>750</v>
      </c>
      <c r="P58" s="1">
        <v>10</v>
      </c>
      <c r="Q58" s="1" t="s">
        <v>38</v>
      </c>
      <c r="R58" s="1" t="s">
        <v>61</v>
      </c>
      <c r="S58" s="1" t="s">
        <v>68</v>
      </c>
      <c r="T58" s="1"/>
      <c r="U58" s="1" t="s">
        <v>360</v>
      </c>
      <c r="V58" s="1" t="s">
        <v>361</v>
      </c>
      <c r="W58" s="1" t="s">
        <v>362</v>
      </c>
      <c r="X58" s="1" t="s">
        <v>363</v>
      </c>
      <c r="Y58" s="1" t="s">
        <v>364</v>
      </c>
      <c r="Z58" s="1" t="s">
        <v>43</v>
      </c>
      <c r="AA58" s="1"/>
      <c r="AB58" s="1" t="s">
        <v>44</v>
      </c>
      <c r="AC58" s="1" t="s">
        <v>45</v>
      </c>
      <c r="AD58" s="1" t="s">
        <v>43</v>
      </c>
      <c r="AE58" s="1" t="s">
        <v>43</v>
      </c>
      <c r="AF58" s="1">
        <v>5</v>
      </c>
      <c r="AG58" s="1" t="s">
        <v>43</v>
      </c>
      <c r="AH58" s="2">
        <v>45717</v>
      </c>
    </row>
    <row r="59" spans="1:34" x14ac:dyDescent="0.3">
      <c r="A59" s="1">
        <v>8474701</v>
      </c>
      <c r="B59" s="1">
        <v>30.06</v>
      </c>
      <c r="C59" s="1">
        <v>349</v>
      </c>
      <c r="D59" s="1">
        <v>499</v>
      </c>
      <c r="E59" s="1" t="s">
        <v>43</v>
      </c>
      <c r="F59" s="1">
        <v>0</v>
      </c>
      <c r="G59" s="1" t="s">
        <v>365</v>
      </c>
      <c r="H59" s="1" t="s">
        <v>366</v>
      </c>
      <c r="I59" s="1" t="str">
        <f>HYPERLINK("https://www.systembolaget.se/produkt/sprit/arrogant-bastard-8474701/","https://www.systembolaget.se/produkt/sprit/arrogant-bastard-8474701/")</f>
        <v>https://www.systembolaget.se/produkt/sprit/arrogant-bastard-8474701/</v>
      </c>
      <c r="J59" s="1">
        <v>41.74</v>
      </c>
      <c r="K59" s="1">
        <v>30.06</v>
      </c>
      <c r="L59" s="2">
        <v>45747</v>
      </c>
      <c r="M59" s="1" t="s">
        <v>367</v>
      </c>
      <c r="N59" s="1">
        <v>0.97</v>
      </c>
      <c r="O59" s="1">
        <v>700</v>
      </c>
      <c r="P59" s="1">
        <v>48.5</v>
      </c>
      <c r="Q59" s="1" t="s">
        <v>308</v>
      </c>
      <c r="R59" s="1" t="s">
        <v>309</v>
      </c>
      <c r="S59" s="1" t="s">
        <v>318</v>
      </c>
      <c r="T59" s="1"/>
      <c r="U59" s="1" t="s">
        <v>73</v>
      </c>
      <c r="V59" s="1"/>
      <c r="W59" s="1"/>
      <c r="X59" s="1" t="s">
        <v>368</v>
      </c>
      <c r="Y59" s="1" t="s">
        <v>256</v>
      </c>
      <c r="Z59" s="1" t="s">
        <v>43</v>
      </c>
      <c r="AA59" s="1"/>
      <c r="AB59" s="1" t="s">
        <v>44</v>
      </c>
      <c r="AC59" s="1" t="s">
        <v>45</v>
      </c>
      <c r="AD59" s="1" t="s">
        <v>43</v>
      </c>
      <c r="AE59" s="1" t="s">
        <v>43</v>
      </c>
      <c r="AF59" s="1"/>
      <c r="AG59" s="1" t="s">
        <v>43</v>
      </c>
      <c r="AH59" s="2">
        <v>45756</v>
      </c>
    </row>
    <row r="60" spans="1:34" x14ac:dyDescent="0.3">
      <c r="A60" s="1">
        <v>5270306</v>
      </c>
      <c r="B60" s="1">
        <v>30</v>
      </c>
      <c r="C60" s="1">
        <v>7000</v>
      </c>
      <c r="D60" s="1">
        <v>10000</v>
      </c>
      <c r="E60" s="1" t="s">
        <v>43</v>
      </c>
      <c r="F60" s="1">
        <v>3</v>
      </c>
      <c r="G60" s="1" t="s">
        <v>369</v>
      </c>
      <c r="H60" s="1"/>
      <c r="I60" s="1" t="str">
        <f>HYPERLINK("https://www.systembolaget.se/produkt/vin/chateau-hosanna-5270306/","https://www.systembolaget.se/produkt/vin/chateau-hosanna-5270306/")</f>
        <v>https://www.systembolaget.se/produkt/vin/chateau-hosanna-5270306/</v>
      </c>
      <c r="J60" s="1">
        <v>42.92</v>
      </c>
      <c r="K60" s="1">
        <v>30</v>
      </c>
      <c r="L60" s="2">
        <v>45509</v>
      </c>
      <c r="M60" s="1" t="s">
        <v>370</v>
      </c>
      <c r="N60" s="1">
        <v>0.03</v>
      </c>
      <c r="O60" s="1">
        <v>1500</v>
      </c>
      <c r="P60" s="1">
        <v>13.5</v>
      </c>
      <c r="Q60" s="1" t="s">
        <v>38</v>
      </c>
      <c r="R60" s="1" t="s">
        <v>52</v>
      </c>
      <c r="S60" s="1"/>
      <c r="T60" s="1"/>
      <c r="U60" s="1" t="s">
        <v>101</v>
      </c>
      <c r="V60" s="1" t="s">
        <v>371</v>
      </c>
      <c r="W60" s="1" t="s">
        <v>372</v>
      </c>
      <c r="X60" s="1" t="s">
        <v>373</v>
      </c>
      <c r="Y60" s="1" t="s">
        <v>374</v>
      </c>
      <c r="Z60" s="1" t="s">
        <v>43</v>
      </c>
      <c r="AA60" s="1">
        <v>2005</v>
      </c>
      <c r="AB60" s="1" t="s">
        <v>375</v>
      </c>
      <c r="AC60" s="1" t="s">
        <v>45</v>
      </c>
      <c r="AD60" s="1" t="s">
        <v>43</v>
      </c>
      <c r="AE60" s="1" t="s">
        <v>43</v>
      </c>
      <c r="AF60" s="1"/>
      <c r="AG60" s="1" t="s">
        <v>43</v>
      </c>
      <c r="AH60" s="2">
        <v>44417</v>
      </c>
    </row>
    <row r="61" spans="1:34" x14ac:dyDescent="0.3">
      <c r="A61" s="1">
        <v>3231602</v>
      </c>
      <c r="B61" s="1">
        <v>29.66</v>
      </c>
      <c r="C61" s="1">
        <v>287</v>
      </c>
      <c r="D61" s="1">
        <v>408</v>
      </c>
      <c r="E61" s="1" t="s">
        <v>43</v>
      </c>
      <c r="F61" s="1">
        <v>0</v>
      </c>
      <c r="G61" s="1" t="s">
        <v>376</v>
      </c>
      <c r="H61" s="1"/>
      <c r="I61" s="1" t="str">
        <f>HYPERLINK("https://www.systembolaget.se/produkt/sprit/svenskt-apple-3231602/","https://www.systembolaget.se/produkt/sprit/svenskt-apple-3231602/")</f>
        <v>https://www.systembolaget.se/produkt/sprit/svenskt-apple-3231602/</v>
      </c>
      <c r="J61" s="1"/>
      <c r="K61" s="1">
        <v>29.66</v>
      </c>
      <c r="L61" s="2">
        <v>46062</v>
      </c>
      <c r="M61" s="1" t="s">
        <v>377</v>
      </c>
      <c r="N61" s="1">
        <v>0.42</v>
      </c>
      <c r="O61" s="1">
        <v>500</v>
      </c>
      <c r="P61" s="1">
        <v>24</v>
      </c>
      <c r="Q61" s="1" t="s">
        <v>308</v>
      </c>
      <c r="R61" s="1" t="s">
        <v>378</v>
      </c>
      <c r="S61" s="1" t="s">
        <v>379</v>
      </c>
      <c r="T61" s="1"/>
      <c r="U61" s="1" t="s">
        <v>110</v>
      </c>
      <c r="V61" s="1" t="s">
        <v>380</v>
      </c>
      <c r="W61" s="1" t="s">
        <v>381</v>
      </c>
      <c r="X61" s="1" t="s">
        <v>382</v>
      </c>
      <c r="Y61" s="1" t="s">
        <v>382</v>
      </c>
      <c r="Z61" s="1" t="s">
        <v>43</v>
      </c>
      <c r="AA61" s="1"/>
      <c r="AB61" s="1" t="s">
        <v>44</v>
      </c>
      <c r="AC61" s="1" t="s">
        <v>115</v>
      </c>
      <c r="AD61" s="1" t="s">
        <v>46</v>
      </c>
      <c r="AE61" s="1" t="s">
        <v>43</v>
      </c>
      <c r="AF61" s="1">
        <v>78</v>
      </c>
      <c r="AG61" s="1" t="s">
        <v>43</v>
      </c>
      <c r="AH61" s="2">
        <v>46083</v>
      </c>
    </row>
    <row r="62" spans="1:34" x14ac:dyDescent="0.3">
      <c r="A62" s="1">
        <v>277401</v>
      </c>
      <c r="B62" s="1">
        <v>29.59</v>
      </c>
      <c r="C62" s="1">
        <v>119</v>
      </c>
      <c r="D62" s="1">
        <v>169</v>
      </c>
      <c r="E62" s="1" t="s">
        <v>43</v>
      </c>
      <c r="F62" s="1">
        <v>0</v>
      </c>
      <c r="G62" s="1" t="s">
        <v>383</v>
      </c>
      <c r="H62" s="1" t="s">
        <v>384</v>
      </c>
      <c r="I62" s="1" t="str">
        <f>HYPERLINK("https://www.systembolaget.se/produkt/vin/greystone-wines-277401/","https://www.systembolaget.se/produkt/vin/greystone-wines-277401/")</f>
        <v>https://www.systembolaget.se/produkt/vin/greystone-wines-277401/</v>
      </c>
      <c r="J62" s="1">
        <v>40.200000000000003</v>
      </c>
      <c r="K62" s="1">
        <v>29.59</v>
      </c>
      <c r="L62" s="2">
        <v>45607</v>
      </c>
      <c r="M62" s="1" t="s">
        <v>385</v>
      </c>
      <c r="N62" s="1">
        <v>0.85</v>
      </c>
      <c r="O62" s="1">
        <v>750</v>
      </c>
      <c r="P62" s="1">
        <v>13.5</v>
      </c>
      <c r="Q62" s="1" t="s">
        <v>38</v>
      </c>
      <c r="R62" s="1" t="s">
        <v>52</v>
      </c>
      <c r="S62" s="1" t="s">
        <v>386</v>
      </c>
      <c r="T62" s="1"/>
      <c r="U62" s="1" t="s">
        <v>387</v>
      </c>
      <c r="V62" s="1" t="s">
        <v>388</v>
      </c>
      <c r="W62" s="1" t="s">
        <v>389</v>
      </c>
      <c r="X62" s="1" t="s">
        <v>383</v>
      </c>
      <c r="Y62" s="1" t="s">
        <v>145</v>
      </c>
      <c r="Z62" s="1" t="s">
        <v>46</v>
      </c>
      <c r="AA62" s="1">
        <v>2023</v>
      </c>
      <c r="AB62" s="1" t="s">
        <v>44</v>
      </c>
      <c r="AC62" s="1" t="s">
        <v>90</v>
      </c>
      <c r="AD62" s="1" t="s">
        <v>43</v>
      </c>
      <c r="AE62" s="1" t="s">
        <v>43</v>
      </c>
      <c r="AF62" s="1">
        <v>2</v>
      </c>
      <c r="AG62" s="1" t="s">
        <v>43</v>
      </c>
      <c r="AH62" s="2">
        <v>45628</v>
      </c>
    </row>
    <row r="63" spans="1:34" x14ac:dyDescent="0.3">
      <c r="A63" s="1">
        <v>8771803</v>
      </c>
      <c r="B63" s="1">
        <v>29.54</v>
      </c>
      <c r="C63" s="1">
        <v>22.9</v>
      </c>
      <c r="D63" s="1">
        <v>32.5</v>
      </c>
      <c r="E63" s="1" t="s">
        <v>43</v>
      </c>
      <c r="F63" s="1">
        <v>24</v>
      </c>
      <c r="G63" s="1" t="s">
        <v>390</v>
      </c>
      <c r="H63" s="1"/>
      <c r="I63" s="1" t="str">
        <f>HYPERLINK("https://www.systembolaget.se/produkt/ol/carib-beer-8771803/","https://www.systembolaget.se/produkt/ol/carib-beer-8771803/")</f>
        <v>https://www.systembolaget.se/produkt/ol/carib-beer-8771803/</v>
      </c>
      <c r="J63" s="1">
        <v>15.5</v>
      </c>
      <c r="K63" s="1">
        <v>29.54</v>
      </c>
      <c r="L63" s="2">
        <v>45401</v>
      </c>
      <c r="M63" s="1" t="s">
        <v>391</v>
      </c>
      <c r="N63" s="1">
        <v>0.72</v>
      </c>
      <c r="O63" s="1">
        <v>330</v>
      </c>
      <c r="P63" s="1">
        <v>5</v>
      </c>
      <c r="Q63" s="1" t="s">
        <v>107</v>
      </c>
      <c r="R63" s="1" t="s">
        <v>134</v>
      </c>
      <c r="S63" s="1" t="s">
        <v>243</v>
      </c>
      <c r="T63" s="1"/>
      <c r="U63" s="1" t="s">
        <v>392</v>
      </c>
      <c r="V63" s="1"/>
      <c r="W63" s="1"/>
      <c r="X63" s="1" t="s">
        <v>393</v>
      </c>
      <c r="Y63" s="1" t="s">
        <v>215</v>
      </c>
      <c r="Z63" s="1" t="s">
        <v>43</v>
      </c>
      <c r="AA63" s="1"/>
      <c r="AB63" s="1" t="s">
        <v>44</v>
      </c>
      <c r="AC63" s="1" t="s">
        <v>45</v>
      </c>
      <c r="AD63" s="1" t="s">
        <v>43</v>
      </c>
      <c r="AE63" s="1" t="s">
        <v>43</v>
      </c>
      <c r="AF63" s="1"/>
      <c r="AG63" s="1" t="s">
        <v>43</v>
      </c>
      <c r="AH63" s="2">
        <v>43591</v>
      </c>
    </row>
    <row r="64" spans="1:34" x14ac:dyDescent="0.3">
      <c r="A64" s="1">
        <v>7063901</v>
      </c>
      <c r="B64" s="1">
        <v>29</v>
      </c>
      <c r="C64" s="1">
        <v>191</v>
      </c>
      <c r="D64" s="1">
        <v>269</v>
      </c>
      <c r="E64" s="1" t="s">
        <v>43</v>
      </c>
      <c r="F64" s="1">
        <v>3</v>
      </c>
      <c r="G64" s="1" t="s">
        <v>394</v>
      </c>
      <c r="H64" s="1" t="s">
        <v>395</v>
      </c>
      <c r="I64" s="1" t="str">
        <f>HYPERLINK("https://www.systembolaget.se/produkt/vin/maurice-schueller-7063901/","https://www.systembolaget.se/produkt/vin/maurice-schueller-7063901/")</f>
        <v>https://www.systembolaget.se/produkt/vin/maurice-schueller-7063901/</v>
      </c>
      <c r="J64" s="1">
        <v>29</v>
      </c>
      <c r="K64" s="1">
        <v>29</v>
      </c>
      <c r="L64" s="2">
        <v>45389</v>
      </c>
      <c r="M64" s="1" t="s">
        <v>396</v>
      </c>
      <c r="N64" s="1">
        <v>0.53</v>
      </c>
      <c r="O64" s="1">
        <v>750</v>
      </c>
      <c r="P64" s="1">
        <v>13.5</v>
      </c>
      <c r="Q64" s="1" t="s">
        <v>38</v>
      </c>
      <c r="R64" s="1" t="s">
        <v>39</v>
      </c>
      <c r="S64" s="1"/>
      <c r="T64" s="1"/>
      <c r="U64" s="1" t="s">
        <v>101</v>
      </c>
      <c r="V64" s="1" t="s">
        <v>223</v>
      </c>
      <c r="W64" s="1"/>
      <c r="X64" s="1" t="s">
        <v>394</v>
      </c>
      <c r="Y64" s="1" t="s">
        <v>397</v>
      </c>
      <c r="Z64" s="1" t="s">
        <v>43</v>
      </c>
      <c r="AA64" s="1">
        <v>2022</v>
      </c>
      <c r="AB64" s="1" t="s">
        <v>77</v>
      </c>
      <c r="AC64" s="1" t="s">
        <v>45</v>
      </c>
      <c r="AD64" s="1" t="s">
        <v>43</v>
      </c>
      <c r="AE64" s="1" t="s">
        <v>43</v>
      </c>
      <c r="AF64" s="1"/>
      <c r="AG64" s="1" t="s">
        <v>43</v>
      </c>
      <c r="AH64" s="2">
        <v>45371</v>
      </c>
    </row>
    <row r="65" spans="1:34" x14ac:dyDescent="0.3">
      <c r="A65" s="1">
        <v>2011301</v>
      </c>
      <c r="B65" s="1">
        <v>28.78</v>
      </c>
      <c r="C65" s="1">
        <v>99</v>
      </c>
      <c r="D65" s="1">
        <v>139</v>
      </c>
      <c r="E65" s="1" t="s">
        <v>43</v>
      </c>
      <c r="F65" s="1">
        <v>0</v>
      </c>
      <c r="G65" s="1" t="s">
        <v>398</v>
      </c>
      <c r="H65" s="1" t="s">
        <v>399</v>
      </c>
      <c r="I65" s="1" t="str">
        <f>HYPERLINK("https://www.systembolaget.se/produkt/vin/1-1-3-2011301/","https://www.systembolaget.se/produkt/vin/1-1-3-2011301/")</f>
        <v>https://www.systembolaget.se/produkt/vin/1-1-3-2011301/</v>
      </c>
      <c r="J65" s="1">
        <v>28.78</v>
      </c>
      <c r="K65" s="1">
        <v>28.78</v>
      </c>
      <c r="L65" s="2">
        <v>45607</v>
      </c>
      <c r="M65" s="1" t="s">
        <v>400</v>
      </c>
      <c r="N65" s="1">
        <v>1.06</v>
      </c>
      <c r="O65" s="1">
        <v>750</v>
      </c>
      <c r="P65" s="1">
        <v>14</v>
      </c>
      <c r="Q65" s="1" t="s">
        <v>38</v>
      </c>
      <c r="R65" s="1" t="s">
        <v>52</v>
      </c>
      <c r="S65" s="1" t="s">
        <v>84</v>
      </c>
      <c r="T65" s="1"/>
      <c r="U65" s="1" t="s">
        <v>164</v>
      </c>
      <c r="V65" s="1" t="s">
        <v>401</v>
      </c>
      <c r="W65" s="1" t="s">
        <v>402</v>
      </c>
      <c r="X65" s="1" t="s">
        <v>403</v>
      </c>
      <c r="Y65" s="1" t="s">
        <v>188</v>
      </c>
      <c r="Z65" s="1" t="s">
        <v>46</v>
      </c>
      <c r="AA65" s="1">
        <v>2023</v>
      </c>
      <c r="AB65" s="1" t="s">
        <v>77</v>
      </c>
      <c r="AC65" s="1" t="s">
        <v>45</v>
      </c>
      <c r="AD65" s="1" t="s">
        <v>43</v>
      </c>
      <c r="AE65" s="1" t="s">
        <v>43</v>
      </c>
      <c r="AF65" s="1">
        <v>2</v>
      </c>
      <c r="AG65" s="1" t="s">
        <v>43</v>
      </c>
      <c r="AH65" s="2">
        <v>45628</v>
      </c>
    </row>
    <row r="66" spans="1:34" x14ac:dyDescent="0.3">
      <c r="A66" s="1">
        <v>466001</v>
      </c>
      <c r="B66" s="1">
        <v>27.93</v>
      </c>
      <c r="C66" s="1">
        <v>129</v>
      </c>
      <c r="D66" s="1">
        <v>179</v>
      </c>
      <c r="E66" s="1" t="s">
        <v>43</v>
      </c>
      <c r="F66" s="1">
        <v>0</v>
      </c>
      <c r="G66" s="1" t="s">
        <v>404</v>
      </c>
      <c r="H66" s="1" t="s">
        <v>405</v>
      </c>
      <c r="I66" s="1" t="str">
        <f>HYPERLINK("https://www.systembolaget.se/produkt/vin/chateau-ste-michelle-466001/","https://www.systembolaget.se/produkt/vin/chateau-ste-michelle-466001/")</f>
        <v>https://www.systembolaget.se/produkt/vin/chateau-ste-michelle-466001/</v>
      </c>
      <c r="J66" s="1">
        <v>23.67</v>
      </c>
      <c r="K66" s="1">
        <v>27.93</v>
      </c>
      <c r="L66" s="2">
        <v>45389</v>
      </c>
      <c r="M66" s="1" t="s">
        <v>406</v>
      </c>
      <c r="N66" s="1">
        <v>0.78</v>
      </c>
      <c r="O66" s="1">
        <v>750</v>
      </c>
      <c r="P66" s="1">
        <v>13.5</v>
      </c>
      <c r="Q66" s="1" t="s">
        <v>38</v>
      </c>
      <c r="R66" s="1" t="s">
        <v>52</v>
      </c>
      <c r="S66" s="1"/>
      <c r="T66" s="1"/>
      <c r="U66" s="1" t="s">
        <v>73</v>
      </c>
      <c r="V66" s="1" t="s">
        <v>237</v>
      </c>
      <c r="W66" s="1" t="s">
        <v>238</v>
      </c>
      <c r="X66" s="1" t="s">
        <v>404</v>
      </c>
      <c r="Y66" s="1" t="s">
        <v>407</v>
      </c>
      <c r="Z66" s="1" t="s">
        <v>43</v>
      </c>
      <c r="AA66" s="1">
        <v>2020</v>
      </c>
      <c r="AB66" s="1" t="s">
        <v>44</v>
      </c>
      <c r="AC66" s="1" t="s">
        <v>45</v>
      </c>
      <c r="AD66" s="1" t="s">
        <v>43</v>
      </c>
      <c r="AE66" s="1" t="s">
        <v>43</v>
      </c>
      <c r="AF66" s="1">
        <v>3</v>
      </c>
      <c r="AG66" s="1" t="s">
        <v>43</v>
      </c>
      <c r="AH66" s="2">
        <v>43435</v>
      </c>
    </row>
    <row r="67" spans="1:34" x14ac:dyDescent="0.3">
      <c r="A67" s="1">
        <v>7558301</v>
      </c>
      <c r="B67" s="1">
        <v>27.93</v>
      </c>
      <c r="C67" s="1">
        <v>129</v>
      </c>
      <c r="D67" s="1">
        <v>179</v>
      </c>
      <c r="E67" s="1" t="s">
        <v>43</v>
      </c>
      <c r="F67" s="1">
        <v>0</v>
      </c>
      <c r="G67" s="1" t="s">
        <v>408</v>
      </c>
      <c r="H67" s="1" t="s">
        <v>409</v>
      </c>
      <c r="I67" s="1" t="str">
        <f>HYPERLINK("https://www.systembolaget.se/produkt/vin/frissons-7558301/","https://www.systembolaget.se/produkt/vin/frissons-7558301/")</f>
        <v>https://www.systembolaget.se/produkt/vin/frissons-7558301/</v>
      </c>
      <c r="J67" s="1"/>
      <c r="K67" s="1">
        <v>27.93</v>
      </c>
      <c r="L67" s="2">
        <v>46133</v>
      </c>
      <c r="M67" s="1" t="s">
        <v>410</v>
      </c>
      <c r="N67" s="1">
        <v>0.76</v>
      </c>
      <c r="O67" s="1">
        <v>750</v>
      </c>
      <c r="P67" s="1">
        <v>13</v>
      </c>
      <c r="Q67" s="1" t="s">
        <v>38</v>
      </c>
      <c r="R67" s="1" t="s">
        <v>39</v>
      </c>
      <c r="S67" s="1"/>
      <c r="T67" s="1"/>
      <c r="U67" s="1" t="s">
        <v>101</v>
      </c>
      <c r="V67" s="1" t="s">
        <v>142</v>
      </c>
      <c r="W67" s="1"/>
      <c r="X67" s="1" t="s">
        <v>411</v>
      </c>
      <c r="Y67" s="1" t="s">
        <v>153</v>
      </c>
      <c r="Z67" s="1" t="s">
        <v>43</v>
      </c>
      <c r="AA67" s="1">
        <v>2021</v>
      </c>
      <c r="AB67" s="1" t="s">
        <v>44</v>
      </c>
      <c r="AC67" s="1" t="s">
        <v>45</v>
      </c>
      <c r="AD67" s="1" t="s">
        <v>43</v>
      </c>
      <c r="AE67" s="1" t="s">
        <v>43</v>
      </c>
      <c r="AF67" s="1"/>
      <c r="AG67" s="1" t="s">
        <v>43</v>
      </c>
      <c r="AH67" s="2">
        <v>46134</v>
      </c>
    </row>
    <row r="68" spans="1:34" x14ac:dyDescent="0.3">
      <c r="A68" s="1">
        <v>7409101</v>
      </c>
      <c r="B68" s="1">
        <v>27.93</v>
      </c>
      <c r="C68" s="1">
        <v>129</v>
      </c>
      <c r="D68" s="1">
        <v>179</v>
      </c>
      <c r="E68" s="1" t="s">
        <v>43</v>
      </c>
      <c r="F68" s="1">
        <v>0</v>
      </c>
      <c r="G68" s="1" t="s">
        <v>412</v>
      </c>
      <c r="H68" s="1" t="s">
        <v>62</v>
      </c>
      <c r="I68" s="1" t="str">
        <f>HYPERLINK("https://www.systembolaget.se/produkt/vin/conde-7409101/","https://www.systembolaget.se/produkt/vin/conde-7409101/")</f>
        <v>https://www.systembolaget.se/produkt/vin/conde-7409101/</v>
      </c>
      <c r="J68" s="1">
        <v>27.93</v>
      </c>
      <c r="K68" s="1">
        <v>27.93</v>
      </c>
      <c r="L68" s="2">
        <v>45782</v>
      </c>
      <c r="M68" s="1" t="s">
        <v>413</v>
      </c>
      <c r="N68" s="1">
        <v>0.78</v>
      </c>
      <c r="O68" s="1">
        <v>750</v>
      </c>
      <c r="P68" s="1">
        <v>13.5</v>
      </c>
      <c r="Q68" s="1" t="s">
        <v>38</v>
      </c>
      <c r="R68" s="1" t="s">
        <v>80</v>
      </c>
      <c r="S68" s="1"/>
      <c r="T68" s="1"/>
      <c r="U68" s="1" t="s">
        <v>53</v>
      </c>
      <c r="V68" s="1" t="s">
        <v>54</v>
      </c>
      <c r="W68" s="1" t="s">
        <v>414</v>
      </c>
      <c r="X68" s="1" t="s">
        <v>415</v>
      </c>
      <c r="Y68" s="1" t="s">
        <v>304</v>
      </c>
      <c r="Z68" s="1" t="s">
        <v>46</v>
      </c>
      <c r="AA68" s="1">
        <v>2024</v>
      </c>
      <c r="AB68" s="1" t="s">
        <v>44</v>
      </c>
      <c r="AC68" s="1" t="s">
        <v>45</v>
      </c>
      <c r="AD68" s="1" t="s">
        <v>43</v>
      </c>
      <c r="AE68" s="1" t="s">
        <v>43</v>
      </c>
      <c r="AF68" s="1"/>
      <c r="AG68" s="1" t="s">
        <v>43</v>
      </c>
      <c r="AH68" s="2">
        <v>45789</v>
      </c>
    </row>
    <row r="69" spans="1:34" x14ac:dyDescent="0.3">
      <c r="A69" s="1">
        <v>7658001</v>
      </c>
      <c r="B69" s="1">
        <v>27.52</v>
      </c>
      <c r="C69" s="1">
        <v>79</v>
      </c>
      <c r="D69" s="1">
        <v>109</v>
      </c>
      <c r="E69" s="1" t="s">
        <v>43</v>
      </c>
      <c r="F69" s="1">
        <v>0</v>
      </c>
      <c r="G69" s="1" t="s">
        <v>416</v>
      </c>
      <c r="H69" s="1" t="s">
        <v>281</v>
      </c>
      <c r="I69" s="1" t="str">
        <f>HYPERLINK("https://www.systembolaget.se/produkt/vin/maple-ash-7658001/","https://www.systembolaget.se/produkt/vin/maple-ash-7658001/")</f>
        <v>https://www.systembolaget.se/produkt/vin/maple-ash-7658001/</v>
      </c>
      <c r="J69" s="1">
        <v>27.52</v>
      </c>
      <c r="K69" s="1">
        <v>27.52</v>
      </c>
      <c r="L69" s="2">
        <v>45510</v>
      </c>
      <c r="M69" s="1" t="s">
        <v>417</v>
      </c>
      <c r="N69" s="1">
        <v>1.28</v>
      </c>
      <c r="O69" s="1">
        <v>750</v>
      </c>
      <c r="P69" s="1">
        <v>13.5</v>
      </c>
      <c r="Q69" s="1" t="s">
        <v>38</v>
      </c>
      <c r="R69" s="1" t="s">
        <v>39</v>
      </c>
      <c r="S69" s="1"/>
      <c r="T69" s="1"/>
      <c r="U69" s="1" t="s">
        <v>73</v>
      </c>
      <c r="V69" s="1" t="s">
        <v>74</v>
      </c>
      <c r="W69" s="1"/>
      <c r="X69" s="1" t="s">
        <v>180</v>
      </c>
      <c r="Y69" s="1" t="s">
        <v>180</v>
      </c>
      <c r="Z69" s="1" t="s">
        <v>43</v>
      </c>
      <c r="AA69" s="1"/>
      <c r="AB69" s="1" t="s">
        <v>44</v>
      </c>
      <c r="AC69" s="1" t="s">
        <v>45</v>
      </c>
      <c r="AD69" s="1" t="s">
        <v>43</v>
      </c>
      <c r="AE69" s="1" t="s">
        <v>43</v>
      </c>
      <c r="AF69" s="1"/>
      <c r="AG69" s="1" t="s">
        <v>43</v>
      </c>
      <c r="AH69" s="2">
        <v>45446</v>
      </c>
    </row>
    <row r="70" spans="1:34" x14ac:dyDescent="0.3">
      <c r="A70" s="1">
        <v>274501</v>
      </c>
      <c r="B70" s="1">
        <v>27.52</v>
      </c>
      <c r="C70" s="1">
        <v>79</v>
      </c>
      <c r="D70" s="1">
        <v>109</v>
      </c>
      <c r="E70" s="1" t="s">
        <v>43</v>
      </c>
      <c r="F70" s="1">
        <v>0</v>
      </c>
      <c r="G70" s="1" t="s">
        <v>418</v>
      </c>
      <c r="H70" s="1" t="s">
        <v>419</v>
      </c>
      <c r="I70" s="1" t="str">
        <f>HYPERLINK("https://www.systembolaget.se/produkt/vin/zephyr-274501/","https://www.systembolaget.se/produkt/vin/zephyr-274501/")</f>
        <v>https://www.systembolaget.se/produkt/vin/zephyr-274501/</v>
      </c>
      <c r="J70" s="1">
        <v>34.17</v>
      </c>
      <c r="K70" s="1">
        <v>27.52</v>
      </c>
      <c r="L70" s="2">
        <v>45516</v>
      </c>
      <c r="M70" s="1" t="s">
        <v>420</v>
      </c>
      <c r="N70" s="1">
        <v>1.23</v>
      </c>
      <c r="O70" s="1">
        <v>750</v>
      </c>
      <c r="P70" s="1">
        <v>13</v>
      </c>
      <c r="Q70" s="1" t="s">
        <v>38</v>
      </c>
      <c r="R70" s="1" t="s">
        <v>39</v>
      </c>
      <c r="S70" s="1" t="s">
        <v>184</v>
      </c>
      <c r="T70" s="1"/>
      <c r="U70" s="1" t="s">
        <v>387</v>
      </c>
      <c r="V70" s="1" t="s">
        <v>421</v>
      </c>
      <c r="W70" s="1"/>
      <c r="X70" s="1" t="s">
        <v>422</v>
      </c>
      <c r="Y70" s="1" t="s">
        <v>423</v>
      </c>
      <c r="Z70" s="1" t="s">
        <v>43</v>
      </c>
      <c r="AA70" s="1">
        <v>2024</v>
      </c>
      <c r="AB70" s="1" t="s">
        <v>77</v>
      </c>
      <c r="AC70" s="1" t="s">
        <v>45</v>
      </c>
      <c r="AD70" s="1" t="s">
        <v>43</v>
      </c>
      <c r="AE70" s="1" t="s">
        <v>43</v>
      </c>
      <c r="AF70" s="1">
        <v>6</v>
      </c>
      <c r="AG70" s="1" t="s">
        <v>43</v>
      </c>
      <c r="AH70" s="2">
        <v>45537</v>
      </c>
    </row>
    <row r="71" spans="1:34" x14ac:dyDescent="0.3">
      <c r="A71" s="1">
        <v>7623906</v>
      </c>
      <c r="B71" s="1">
        <v>26.7</v>
      </c>
      <c r="C71" s="1">
        <v>549</v>
      </c>
      <c r="D71" s="1">
        <v>749</v>
      </c>
      <c r="E71" s="1" t="s">
        <v>43</v>
      </c>
      <c r="F71" s="1">
        <v>0</v>
      </c>
      <c r="G71" s="1" t="s">
        <v>424</v>
      </c>
      <c r="H71" s="1" t="s">
        <v>425</v>
      </c>
      <c r="I71" s="1" t="str">
        <f>HYPERLINK("https://www.systembolaget.se/produkt/vin/brannland-iscider-7623906/","https://www.systembolaget.se/produkt/vin/brannland-iscider-7623906/")</f>
        <v>https://www.systembolaget.se/produkt/vin/brannland-iscider-7623906/</v>
      </c>
      <c r="J71" s="1">
        <v>26.7</v>
      </c>
      <c r="K71" s="1">
        <v>26.7</v>
      </c>
      <c r="L71" s="2">
        <v>45957</v>
      </c>
      <c r="M71" s="1" t="s">
        <v>426</v>
      </c>
      <c r="N71" s="1">
        <v>0.26</v>
      </c>
      <c r="O71" s="1">
        <v>1500</v>
      </c>
      <c r="P71" s="1">
        <v>9.5</v>
      </c>
      <c r="Q71" s="1" t="s">
        <v>38</v>
      </c>
      <c r="R71" s="1" t="s">
        <v>427</v>
      </c>
      <c r="S71" s="1" t="s">
        <v>428</v>
      </c>
      <c r="T71" s="1"/>
      <c r="U71" s="1" t="s">
        <v>110</v>
      </c>
      <c r="V71" s="1"/>
      <c r="W71" s="1"/>
      <c r="X71" s="1" t="s">
        <v>424</v>
      </c>
      <c r="Y71" s="1" t="s">
        <v>429</v>
      </c>
      <c r="Z71" s="1" t="s">
        <v>43</v>
      </c>
      <c r="AA71" s="1">
        <v>2024</v>
      </c>
      <c r="AB71" s="1" t="s">
        <v>375</v>
      </c>
      <c r="AC71" s="1" t="s">
        <v>45</v>
      </c>
      <c r="AD71" s="1" t="s">
        <v>43</v>
      </c>
      <c r="AE71" s="1" t="s">
        <v>43</v>
      </c>
      <c r="AF71" s="1"/>
      <c r="AG71" s="1" t="s">
        <v>43</v>
      </c>
      <c r="AH71" s="2">
        <v>45964</v>
      </c>
    </row>
    <row r="72" spans="1:34" x14ac:dyDescent="0.3">
      <c r="A72" s="1">
        <v>7014001</v>
      </c>
      <c r="B72" s="1">
        <v>25.97</v>
      </c>
      <c r="C72" s="1">
        <v>285</v>
      </c>
      <c r="D72" s="1">
        <v>385</v>
      </c>
      <c r="E72" s="1" t="s">
        <v>43</v>
      </c>
      <c r="F72" s="1">
        <v>0</v>
      </c>
      <c r="G72" s="1" t="s">
        <v>430</v>
      </c>
      <c r="H72" s="1" t="s">
        <v>431</v>
      </c>
      <c r="I72" s="1" t="str">
        <f>HYPERLINK("https://www.systembolaget.se/produkt/vin/carignane-7014001/","https://www.systembolaget.se/produkt/vin/carignane-7014001/")</f>
        <v>https://www.systembolaget.se/produkt/vin/carignane-7014001/</v>
      </c>
      <c r="J72" s="1">
        <v>25.97</v>
      </c>
      <c r="K72" s="1">
        <v>25.97</v>
      </c>
      <c r="L72" s="2">
        <v>45389</v>
      </c>
      <c r="M72" s="1" t="s">
        <v>432</v>
      </c>
      <c r="N72" s="1">
        <v>0.36</v>
      </c>
      <c r="O72" s="1">
        <v>750</v>
      </c>
      <c r="P72" s="1">
        <v>13.5</v>
      </c>
      <c r="Q72" s="1" t="s">
        <v>38</v>
      </c>
      <c r="R72" s="1" t="s">
        <v>52</v>
      </c>
      <c r="S72" s="1"/>
      <c r="T72" s="1"/>
      <c r="U72" s="1" t="s">
        <v>73</v>
      </c>
      <c r="V72" s="1"/>
      <c r="W72" s="1"/>
      <c r="X72" s="1" t="s">
        <v>433</v>
      </c>
      <c r="Y72" s="1" t="s">
        <v>434</v>
      </c>
      <c r="Z72" s="1" t="s">
        <v>43</v>
      </c>
      <c r="AA72" s="1">
        <v>2021</v>
      </c>
      <c r="AB72" s="1" t="s">
        <v>77</v>
      </c>
      <c r="AC72" s="1" t="s">
        <v>45</v>
      </c>
      <c r="AD72" s="1" t="s">
        <v>43</v>
      </c>
      <c r="AE72" s="1" t="s">
        <v>43</v>
      </c>
      <c r="AF72" s="1"/>
      <c r="AG72" s="1" t="s">
        <v>43</v>
      </c>
      <c r="AH72" s="2">
        <v>45390</v>
      </c>
    </row>
    <row r="73" spans="1:34" x14ac:dyDescent="0.3">
      <c r="A73" s="1">
        <v>7433401</v>
      </c>
      <c r="B73" s="1">
        <v>25.75</v>
      </c>
      <c r="C73" s="1">
        <v>519</v>
      </c>
      <c r="D73" s="1">
        <v>699</v>
      </c>
      <c r="E73" s="1" t="s">
        <v>43</v>
      </c>
      <c r="F73" s="1">
        <v>0</v>
      </c>
      <c r="G73" s="1" t="s">
        <v>435</v>
      </c>
      <c r="H73" s="1" t="s">
        <v>436</v>
      </c>
      <c r="I73" s="1" t="str">
        <f>HYPERLINK("https://www.systembolaget.se/produkt/vin/speri-7433401/","https://www.systembolaget.se/produkt/vin/speri-7433401/")</f>
        <v>https://www.systembolaget.se/produkt/vin/speri-7433401/</v>
      </c>
      <c r="J73" s="1">
        <v>25.75</v>
      </c>
      <c r="K73" s="1">
        <v>25.75</v>
      </c>
      <c r="L73" s="2">
        <v>45389</v>
      </c>
      <c r="M73" s="1" t="s">
        <v>437</v>
      </c>
      <c r="N73" s="1">
        <v>0.22</v>
      </c>
      <c r="O73" s="1">
        <v>750</v>
      </c>
      <c r="P73" s="1">
        <v>15</v>
      </c>
      <c r="Q73" s="1" t="s">
        <v>38</v>
      </c>
      <c r="R73" s="1" t="s">
        <v>52</v>
      </c>
      <c r="S73" s="1"/>
      <c r="T73" s="1"/>
      <c r="U73" s="1" t="s">
        <v>53</v>
      </c>
      <c r="V73" s="1" t="s">
        <v>202</v>
      </c>
      <c r="W73" s="1" t="s">
        <v>265</v>
      </c>
      <c r="X73" s="1" t="s">
        <v>435</v>
      </c>
      <c r="Y73" s="1" t="s">
        <v>219</v>
      </c>
      <c r="Z73" s="1" t="s">
        <v>46</v>
      </c>
      <c r="AA73" s="1">
        <v>2019</v>
      </c>
      <c r="AB73" s="1" t="s">
        <v>44</v>
      </c>
      <c r="AC73" s="1" t="s">
        <v>45</v>
      </c>
      <c r="AD73" s="1" t="s">
        <v>43</v>
      </c>
      <c r="AE73" s="1" t="s">
        <v>43</v>
      </c>
      <c r="AF73" s="1"/>
      <c r="AG73" s="1" t="s">
        <v>43</v>
      </c>
      <c r="AH73" s="2">
        <v>42700</v>
      </c>
    </row>
    <row r="74" spans="1:34" x14ac:dyDescent="0.3">
      <c r="A74" s="1">
        <v>253601</v>
      </c>
      <c r="B74" s="1">
        <v>25.32</v>
      </c>
      <c r="C74" s="1">
        <v>59</v>
      </c>
      <c r="D74" s="1">
        <v>79</v>
      </c>
      <c r="E74" s="1" t="s">
        <v>43</v>
      </c>
      <c r="F74" s="1">
        <v>0</v>
      </c>
      <c r="G74" s="1" t="s">
        <v>438</v>
      </c>
      <c r="H74" s="1" t="s">
        <v>439</v>
      </c>
      <c r="I74" s="1" t="str">
        <f>HYPERLINK("https://www.systembolaget.se/produkt/vin/crazy-cat-253601/","https://www.systembolaget.se/produkt/vin/crazy-cat-253601/")</f>
        <v>https://www.systembolaget.se/produkt/vin/crazy-cat-253601/</v>
      </c>
      <c r="J74" s="1">
        <v>33.71</v>
      </c>
      <c r="K74" s="1">
        <v>25.32</v>
      </c>
      <c r="L74" s="2">
        <v>45442</v>
      </c>
      <c r="M74" s="1" t="s">
        <v>440</v>
      </c>
      <c r="N74" s="1">
        <v>1.78</v>
      </c>
      <c r="O74" s="1">
        <v>750</v>
      </c>
      <c r="P74" s="1">
        <v>14</v>
      </c>
      <c r="Q74" s="1" t="s">
        <v>38</v>
      </c>
      <c r="R74" s="1" t="s">
        <v>52</v>
      </c>
      <c r="S74" s="1" t="s">
        <v>84</v>
      </c>
      <c r="T74" s="1"/>
      <c r="U74" s="1" t="s">
        <v>289</v>
      </c>
      <c r="V74" s="1" t="s">
        <v>290</v>
      </c>
      <c r="W74" s="1" t="s">
        <v>291</v>
      </c>
      <c r="X74" s="1" t="s">
        <v>441</v>
      </c>
      <c r="Y74" s="1" t="s">
        <v>334</v>
      </c>
      <c r="Z74" s="1" t="s">
        <v>43</v>
      </c>
      <c r="AA74" s="1">
        <v>2024</v>
      </c>
      <c r="AB74" s="1" t="s">
        <v>77</v>
      </c>
      <c r="AC74" s="1" t="s">
        <v>45</v>
      </c>
      <c r="AD74" s="1" t="s">
        <v>43</v>
      </c>
      <c r="AE74" s="1" t="s">
        <v>43</v>
      </c>
      <c r="AF74" s="1">
        <v>2</v>
      </c>
      <c r="AG74" s="1" t="s">
        <v>43</v>
      </c>
      <c r="AH74" s="2">
        <v>45352</v>
      </c>
    </row>
    <row r="75" spans="1:34" x14ac:dyDescent="0.3">
      <c r="A75" s="1">
        <v>237901</v>
      </c>
      <c r="B75" s="1">
        <v>25.32</v>
      </c>
      <c r="C75" s="1">
        <v>59</v>
      </c>
      <c r="D75" s="1">
        <v>79</v>
      </c>
      <c r="E75" s="1" t="s">
        <v>43</v>
      </c>
      <c r="F75" s="1">
        <v>0</v>
      </c>
      <c r="G75" s="1" t="s">
        <v>442</v>
      </c>
      <c r="H75" s="1" t="s">
        <v>443</v>
      </c>
      <c r="I75" s="1" t="str">
        <f>HYPERLINK("https://www.systembolaget.se/produkt/vin/castelo-dos-mouros-237901/","https://www.systembolaget.se/produkt/vin/castelo-dos-mouros-237901/")</f>
        <v>https://www.systembolaget.se/produkt/vin/castelo-dos-mouros-237901/</v>
      </c>
      <c r="J75" s="1">
        <v>50.42</v>
      </c>
      <c r="K75" s="1">
        <v>25.32</v>
      </c>
      <c r="L75" s="2">
        <v>45516</v>
      </c>
      <c r="M75" s="1" t="s">
        <v>444</v>
      </c>
      <c r="N75" s="1">
        <v>1.72</v>
      </c>
      <c r="O75" s="1">
        <v>750</v>
      </c>
      <c r="P75" s="1">
        <v>13.5</v>
      </c>
      <c r="Q75" s="1" t="s">
        <v>38</v>
      </c>
      <c r="R75" s="1" t="s">
        <v>52</v>
      </c>
      <c r="S75" s="1" t="s">
        <v>84</v>
      </c>
      <c r="T75" s="1"/>
      <c r="U75" s="1" t="s">
        <v>272</v>
      </c>
      <c r="V75" s="1" t="s">
        <v>445</v>
      </c>
      <c r="W75" s="1"/>
      <c r="X75" s="1" t="s">
        <v>446</v>
      </c>
      <c r="Y75" s="1" t="s">
        <v>121</v>
      </c>
      <c r="Z75" s="1" t="s">
        <v>43</v>
      </c>
      <c r="AA75" s="1">
        <v>2021</v>
      </c>
      <c r="AB75" s="1" t="s">
        <v>77</v>
      </c>
      <c r="AC75" s="1" t="s">
        <v>45</v>
      </c>
      <c r="AD75" s="1" t="s">
        <v>43</v>
      </c>
      <c r="AE75" s="1" t="s">
        <v>43</v>
      </c>
      <c r="AF75" s="1">
        <v>2</v>
      </c>
      <c r="AG75" s="1" t="s">
        <v>43</v>
      </c>
      <c r="AH75" s="2">
        <v>45537</v>
      </c>
    </row>
    <row r="76" spans="1:34" x14ac:dyDescent="0.3">
      <c r="A76" s="1">
        <v>203401</v>
      </c>
      <c r="B76" s="1">
        <v>25.32</v>
      </c>
      <c r="C76" s="1">
        <v>59</v>
      </c>
      <c r="D76" s="1">
        <v>79</v>
      </c>
      <c r="E76" s="1" t="s">
        <v>43</v>
      </c>
      <c r="F76" s="1">
        <v>0</v>
      </c>
      <c r="G76" s="1" t="s">
        <v>447</v>
      </c>
      <c r="H76" s="1" t="s">
        <v>448</v>
      </c>
      <c r="I76" s="1" t="str">
        <f>HYPERLINK("https://www.systembolaget.se/produkt/vin/castelgufo-203401/","https://www.systembolaget.se/produkt/vin/castelgufo-203401/")</f>
        <v>https://www.systembolaget.se/produkt/vin/castelgufo-203401/</v>
      </c>
      <c r="J76" s="1">
        <v>40.4</v>
      </c>
      <c r="K76" s="1">
        <v>25.32</v>
      </c>
      <c r="L76" s="2">
        <v>45389</v>
      </c>
      <c r="M76" s="1" t="s">
        <v>449</v>
      </c>
      <c r="N76" s="1">
        <v>1.65</v>
      </c>
      <c r="O76" s="1">
        <v>750</v>
      </c>
      <c r="P76" s="1">
        <v>13</v>
      </c>
      <c r="Q76" s="1" t="s">
        <v>38</v>
      </c>
      <c r="R76" s="1" t="s">
        <v>39</v>
      </c>
      <c r="S76" s="1" t="s">
        <v>283</v>
      </c>
      <c r="T76" s="1"/>
      <c r="U76" s="1" t="s">
        <v>53</v>
      </c>
      <c r="V76" s="1" t="s">
        <v>450</v>
      </c>
      <c r="W76" s="1" t="s">
        <v>448</v>
      </c>
      <c r="X76" s="1" t="s">
        <v>451</v>
      </c>
      <c r="Y76" s="1" t="s">
        <v>334</v>
      </c>
      <c r="Z76" s="1" t="s">
        <v>43</v>
      </c>
      <c r="AA76" s="1">
        <v>2022</v>
      </c>
      <c r="AB76" s="1" t="s">
        <v>77</v>
      </c>
      <c r="AC76" s="1" t="s">
        <v>45</v>
      </c>
      <c r="AD76" s="1" t="s">
        <v>43</v>
      </c>
      <c r="AE76" s="1" t="s">
        <v>43</v>
      </c>
      <c r="AF76" s="1">
        <v>2</v>
      </c>
      <c r="AG76" s="1" t="s">
        <v>43</v>
      </c>
      <c r="AH76" s="2">
        <v>44440</v>
      </c>
    </row>
    <row r="77" spans="1:34" x14ac:dyDescent="0.3">
      <c r="A77" s="1">
        <v>7672001</v>
      </c>
      <c r="B77" s="1">
        <v>25.21</v>
      </c>
      <c r="C77" s="1">
        <v>89</v>
      </c>
      <c r="D77" s="1">
        <v>119</v>
      </c>
      <c r="E77" s="1" t="s">
        <v>43</v>
      </c>
      <c r="F77" s="1">
        <v>0</v>
      </c>
      <c r="G77" s="1" t="s">
        <v>452</v>
      </c>
      <c r="H77" s="1" t="s">
        <v>62</v>
      </c>
      <c r="I77" s="1" t="str">
        <f>HYPERLINK("https://www.systembolaget.se/produkt/vin/silent-shade-7672001/","https://www.systembolaget.se/produkt/vin/silent-shade-7672001/")</f>
        <v>https://www.systembolaget.se/produkt/vin/silent-shade-7672001/</v>
      </c>
      <c r="J77" s="1">
        <v>25.21</v>
      </c>
      <c r="K77" s="1">
        <v>25.21</v>
      </c>
      <c r="L77" s="2">
        <v>45775</v>
      </c>
      <c r="M77" s="1" t="s">
        <v>453</v>
      </c>
      <c r="N77" s="1">
        <v>1.01</v>
      </c>
      <c r="O77" s="1">
        <v>750</v>
      </c>
      <c r="P77" s="1">
        <v>12</v>
      </c>
      <c r="Q77" s="1" t="s">
        <v>38</v>
      </c>
      <c r="R77" s="1" t="s">
        <v>80</v>
      </c>
      <c r="S77" s="1" t="s">
        <v>170</v>
      </c>
      <c r="T77" s="1"/>
      <c r="U77" s="1" t="s">
        <v>53</v>
      </c>
      <c r="V77" s="1"/>
      <c r="W77" s="1"/>
      <c r="X77" s="1" t="s">
        <v>454</v>
      </c>
      <c r="Y77" s="1" t="s">
        <v>285</v>
      </c>
      <c r="Z77" s="1" t="s">
        <v>43</v>
      </c>
      <c r="AA77" s="1"/>
      <c r="AB77" s="1" t="s">
        <v>77</v>
      </c>
      <c r="AC77" s="1" t="s">
        <v>45</v>
      </c>
      <c r="AD77" s="1" t="s">
        <v>43</v>
      </c>
      <c r="AE77" s="1" t="s">
        <v>43</v>
      </c>
      <c r="AF77" s="1">
        <v>5</v>
      </c>
      <c r="AG77" s="1" t="s">
        <v>43</v>
      </c>
      <c r="AH77" s="2">
        <v>45782</v>
      </c>
    </row>
    <row r="78" spans="1:34" x14ac:dyDescent="0.3">
      <c r="A78" s="1">
        <v>7986201</v>
      </c>
      <c r="B78" s="1">
        <v>25.13</v>
      </c>
      <c r="C78" s="1">
        <v>149</v>
      </c>
      <c r="D78" s="1">
        <v>199</v>
      </c>
      <c r="E78" s="1" t="s">
        <v>43</v>
      </c>
      <c r="F78" s="1">
        <v>0</v>
      </c>
      <c r="G78" s="1" t="s">
        <v>455</v>
      </c>
      <c r="H78" s="1" t="s">
        <v>456</v>
      </c>
      <c r="I78" s="1" t="str">
        <f>HYPERLINK("https://www.systembolaget.se/produkt/vin/wine-wizard-7986201/","https://www.systembolaget.se/produkt/vin/wine-wizard-7986201/")</f>
        <v>https://www.systembolaget.se/produkt/vin/wine-wizard-7986201/</v>
      </c>
      <c r="J78" s="1">
        <v>25.13</v>
      </c>
      <c r="K78" s="1">
        <v>25.13</v>
      </c>
      <c r="L78" s="2">
        <v>45741</v>
      </c>
      <c r="M78" s="1" t="s">
        <v>457</v>
      </c>
      <c r="N78" s="1">
        <v>0.7</v>
      </c>
      <c r="O78" s="1">
        <v>750</v>
      </c>
      <c r="P78" s="1">
        <v>14</v>
      </c>
      <c r="Q78" s="1" t="s">
        <v>38</v>
      </c>
      <c r="R78" s="1" t="s">
        <v>39</v>
      </c>
      <c r="S78" s="1"/>
      <c r="T78" s="1"/>
      <c r="U78" s="1" t="s">
        <v>101</v>
      </c>
      <c r="V78" s="1"/>
      <c r="W78" s="1"/>
      <c r="X78" s="1" t="s">
        <v>458</v>
      </c>
      <c r="Y78" s="1" t="s">
        <v>299</v>
      </c>
      <c r="Z78" s="1" t="s">
        <v>46</v>
      </c>
      <c r="AA78" s="1"/>
      <c r="AB78" s="1" t="s">
        <v>77</v>
      </c>
      <c r="AC78" s="1" t="s">
        <v>45</v>
      </c>
      <c r="AD78" s="1" t="s">
        <v>43</v>
      </c>
      <c r="AE78" s="1" t="s">
        <v>43</v>
      </c>
      <c r="AF78" s="1"/>
      <c r="AG78" s="1" t="s">
        <v>43</v>
      </c>
      <c r="AH78" s="2">
        <v>45748</v>
      </c>
    </row>
    <row r="79" spans="1:34" x14ac:dyDescent="0.3">
      <c r="A79" s="1">
        <v>7251501</v>
      </c>
      <c r="B79" s="1">
        <v>25.09</v>
      </c>
      <c r="C79" s="1">
        <v>209</v>
      </c>
      <c r="D79" s="1">
        <v>279</v>
      </c>
      <c r="E79" s="1" t="s">
        <v>459</v>
      </c>
      <c r="F79" s="1">
        <v>0</v>
      </c>
      <c r="G79" s="1" t="s">
        <v>435</v>
      </c>
      <c r="H79" s="1" t="s">
        <v>460</v>
      </c>
      <c r="I79" s="1" t="str">
        <f>HYPERLINK("https://www.systembolaget.se/produkt/vin/speri-7251501/","https://www.systembolaget.se/produkt/vin/speri-7251501/")</f>
        <v>https://www.systembolaget.se/produkt/vin/speri-7251501/</v>
      </c>
      <c r="J79" s="1">
        <v>25.09</v>
      </c>
      <c r="K79" s="1">
        <v>25.09</v>
      </c>
      <c r="L79" s="2">
        <v>45389</v>
      </c>
      <c r="M79" s="1" t="s">
        <v>461</v>
      </c>
      <c r="N79" s="1">
        <v>0.48</v>
      </c>
      <c r="O79" s="1">
        <v>750</v>
      </c>
      <c r="P79" s="1">
        <v>13.5</v>
      </c>
      <c r="Q79" s="1" t="s">
        <v>38</v>
      </c>
      <c r="R79" s="1" t="s">
        <v>52</v>
      </c>
      <c r="S79" s="1"/>
      <c r="T79" s="1"/>
      <c r="U79" s="1" t="s">
        <v>53</v>
      </c>
      <c r="V79" s="1" t="s">
        <v>202</v>
      </c>
      <c r="W79" s="1" t="s">
        <v>265</v>
      </c>
      <c r="X79" s="1" t="s">
        <v>435</v>
      </c>
      <c r="Y79" s="1" t="s">
        <v>219</v>
      </c>
      <c r="Z79" s="1" t="s">
        <v>46</v>
      </c>
      <c r="AA79" s="1">
        <v>2022</v>
      </c>
      <c r="AB79" s="1" t="s">
        <v>44</v>
      </c>
      <c r="AC79" s="1" t="s">
        <v>45</v>
      </c>
      <c r="AD79" s="1" t="s">
        <v>43</v>
      </c>
      <c r="AE79" s="1" t="s">
        <v>43</v>
      </c>
      <c r="AF79" s="1">
        <v>6</v>
      </c>
      <c r="AG79" s="1" t="s">
        <v>43</v>
      </c>
      <c r="AH79" s="2">
        <v>40452</v>
      </c>
    </row>
    <row r="80" spans="1:34" x14ac:dyDescent="0.3">
      <c r="A80" s="1">
        <v>7318201</v>
      </c>
      <c r="B80" s="1">
        <v>25.06</v>
      </c>
      <c r="C80" s="1">
        <v>299</v>
      </c>
      <c r="D80" s="1">
        <v>399</v>
      </c>
      <c r="E80" s="1" t="s">
        <v>43</v>
      </c>
      <c r="F80" s="1">
        <v>0</v>
      </c>
      <c r="G80" s="1" t="s">
        <v>462</v>
      </c>
      <c r="H80" s="1" t="s">
        <v>463</v>
      </c>
      <c r="I80" s="1" t="str">
        <f>HYPERLINK("https://www.systembolaget.se/produkt/vin/la-perriere-silex-sancerre-7318201/","https://www.systembolaget.se/produkt/vin/la-perriere-silex-sancerre-7318201/")</f>
        <v>https://www.systembolaget.se/produkt/vin/la-perriere-silex-sancerre-7318201/</v>
      </c>
      <c r="J80" s="1"/>
      <c r="K80" s="1">
        <v>25.06</v>
      </c>
      <c r="L80" s="2">
        <v>46140</v>
      </c>
      <c r="M80" s="1" t="s">
        <v>464</v>
      </c>
      <c r="N80" s="1">
        <v>0.33</v>
      </c>
      <c r="O80" s="1">
        <v>750</v>
      </c>
      <c r="P80" s="1">
        <v>13</v>
      </c>
      <c r="Q80" s="1" t="s">
        <v>38</v>
      </c>
      <c r="R80" s="1" t="s">
        <v>39</v>
      </c>
      <c r="S80" s="1"/>
      <c r="T80" s="1"/>
      <c r="U80" s="1" t="s">
        <v>101</v>
      </c>
      <c r="V80" s="1" t="s">
        <v>227</v>
      </c>
      <c r="W80" s="1" t="s">
        <v>465</v>
      </c>
      <c r="X80" s="1" t="s">
        <v>463</v>
      </c>
      <c r="Y80" s="1" t="s">
        <v>423</v>
      </c>
      <c r="Z80" s="1" t="s">
        <v>43</v>
      </c>
      <c r="AA80" s="1">
        <v>2022</v>
      </c>
      <c r="AB80" s="1" t="s">
        <v>44</v>
      </c>
      <c r="AC80" s="1" t="s">
        <v>45</v>
      </c>
      <c r="AD80" s="1" t="s">
        <v>43</v>
      </c>
      <c r="AE80" s="1" t="s">
        <v>43</v>
      </c>
      <c r="AF80" s="1"/>
      <c r="AG80" s="1" t="s">
        <v>43</v>
      </c>
      <c r="AH80" s="2">
        <v>46147</v>
      </c>
    </row>
    <row r="81" spans="1:34" x14ac:dyDescent="0.3">
      <c r="A81" s="1">
        <v>3261403</v>
      </c>
      <c r="B81" s="1">
        <v>25.06</v>
      </c>
      <c r="C81" s="1">
        <v>29.9</v>
      </c>
      <c r="D81" s="1">
        <v>39.9</v>
      </c>
      <c r="E81" s="1" t="s">
        <v>43</v>
      </c>
      <c r="F81" s="1">
        <v>0</v>
      </c>
      <c r="G81" s="1" t="s">
        <v>466</v>
      </c>
      <c r="H81" s="1" t="s">
        <v>467</v>
      </c>
      <c r="I81" s="1" t="str">
        <f>HYPERLINK("https://www.systembolaget.se/produkt/ol/smith-street-brew-3261403/","https://www.systembolaget.se/produkt/ol/smith-street-brew-3261403/")</f>
        <v>https://www.systembolaget.se/produkt/ol/smith-street-brew-3261403/</v>
      </c>
      <c r="J81" s="1">
        <v>26.89</v>
      </c>
      <c r="K81" s="1">
        <v>25.06</v>
      </c>
      <c r="L81" s="2">
        <v>45395</v>
      </c>
      <c r="M81" s="1" t="s">
        <v>468</v>
      </c>
      <c r="N81" s="1">
        <v>1.1299999999999999</v>
      </c>
      <c r="O81" s="1">
        <v>330</v>
      </c>
      <c r="P81" s="1">
        <v>10.199999999999999</v>
      </c>
      <c r="Q81" s="1" t="s">
        <v>107</v>
      </c>
      <c r="R81" s="1" t="s">
        <v>108</v>
      </c>
      <c r="S81" s="1"/>
      <c r="T81" s="1"/>
      <c r="U81" s="1" t="s">
        <v>110</v>
      </c>
      <c r="V81" s="1" t="s">
        <v>469</v>
      </c>
      <c r="W81" s="1" t="s">
        <v>470</v>
      </c>
      <c r="X81" s="1" t="s">
        <v>466</v>
      </c>
      <c r="Y81" s="1" t="s">
        <v>471</v>
      </c>
      <c r="Z81" s="1" t="s">
        <v>43</v>
      </c>
      <c r="AA81" s="1"/>
      <c r="AB81" s="1" t="s">
        <v>44</v>
      </c>
      <c r="AC81" s="1" t="s">
        <v>115</v>
      </c>
      <c r="AD81" s="1" t="s">
        <v>46</v>
      </c>
      <c r="AE81" s="1" t="s">
        <v>43</v>
      </c>
      <c r="AF81" s="1"/>
      <c r="AG81" s="1" t="s">
        <v>43</v>
      </c>
      <c r="AH81" s="2">
        <v>45264</v>
      </c>
    </row>
    <row r="82" spans="1:34" x14ac:dyDescent="0.3">
      <c r="A82" s="1">
        <v>7085601</v>
      </c>
      <c r="B82" s="1">
        <v>24.81</v>
      </c>
      <c r="C82" s="1">
        <v>300</v>
      </c>
      <c r="D82" s="1">
        <v>399</v>
      </c>
      <c r="E82" s="1" t="s">
        <v>43</v>
      </c>
      <c r="F82" s="1">
        <v>6</v>
      </c>
      <c r="G82" s="1" t="s">
        <v>472</v>
      </c>
      <c r="H82" s="1"/>
      <c r="I82" s="1" t="str">
        <f>HYPERLINK("https://www.systembolaget.se/produkt/vin/crozes-hermitage-7085601/","https://www.systembolaget.se/produkt/vin/crozes-hermitage-7085601/")</f>
        <v>https://www.systembolaget.se/produkt/vin/crozes-hermitage-7085601/</v>
      </c>
      <c r="J82" s="1">
        <v>-1.69</v>
      </c>
      <c r="K82" s="1">
        <v>24.81</v>
      </c>
      <c r="L82" s="2">
        <v>45509</v>
      </c>
      <c r="M82" s="1" t="s">
        <v>473</v>
      </c>
      <c r="N82" s="1">
        <v>0.31</v>
      </c>
      <c r="O82" s="1">
        <v>750</v>
      </c>
      <c r="P82" s="1">
        <v>12.5</v>
      </c>
      <c r="Q82" s="1" t="s">
        <v>38</v>
      </c>
      <c r="R82" s="1" t="s">
        <v>52</v>
      </c>
      <c r="S82" s="1"/>
      <c r="T82" s="1"/>
      <c r="U82" s="1" t="s">
        <v>101</v>
      </c>
      <c r="V82" s="1" t="s">
        <v>474</v>
      </c>
      <c r="W82" s="1" t="s">
        <v>472</v>
      </c>
      <c r="X82" s="1" t="s">
        <v>475</v>
      </c>
      <c r="Y82" s="1" t="s">
        <v>374</v>
      </c>
      <c r="Z82" s="1" t="s">
        <v>43</v>
      </c>
      <c r="AA82" s="1">
        <v>2022</v>
      </c>
      <c r="AB82" s="1" t="s">
        <v>44</v>
      </c>
      <c r="AC82" s="1" t="s">
        <v>45</v>
      </c>
      <c r="AD82" s="1" t="s">
        <v>43</v>
      </c>
      <c r="AE82" s="1" t="s">
        <v>43</v>
      </c>
      <c r="AF82" s="1"/>
      <c r="AG82" s="1" t="s">
        <v>43</v>
      </c>
      <c r="AH82" s="2">
        <v>45404</v>
      </c>
    </row>
    <row r="83" spans="1:34" x14ac:dyDescent="0.3">
      <c r="A83" s="1">
        <v>5653301</v>
      </c>
      <c r="B83" s="1">
        <v>23.85</v>
      </c>
      <c r="C83" s="1">
        <v>99</v>
      </c>
      <c r="D83" s="1">
        <v>130</v>
      </c>
      <c r="E83" s="1" t="s">
        <v>43</v>
      </c>
      <c r="F83" s="1">
        <v>0</v>
      </c>
      <c r="G83" s="1" t="s">
        <v>476</v>
      </c>
      <c r="H83" s="1" t="s">
        <v>477</v>
      </c>
      <c r="I83" s="1" t="str">
        <f>HYPERLINK("https://www.systembolaget.se/produkt/vin/domaine-chibaou-5653301/","https://www.systembolaget.se/produkt/vin/domaine-chibaou-5653301/")</f>
        <v>https://www.systembolaget.se/produkt/vin/domaine-chibaou-5653301/</v>
      </c>
      <c r="J83" s="1">
        <v>23.26</v>
      </c>
      <c r="K83" s="1">
        <v>23.85</v>
      </c>
      <c r="L83" s="2">
        <v>45389</v>
      </c>
      <c r="M83" s="1" t="s">
        <v>478</v>
      </c>
      <c r="N83" s="1">
        <v>1.06</v>
      </c>
      <c r="O83" s="1">
        <v>750</v>
      </c>
      <c r="P83" s="1">
        <v>14</v>
      </c>
      <c r="Q83" s="1" t="s">
        <v>38</v>
      </c>
      <c r="R83" s="1" t="s">
        <v>52</v>
      </c>
      <c r="S83" s="1"/>
      <c r="T83" s="1"/>
      <c r="U83" s="1" t="s">
        <v>101</v>
      </c>
      <c r="V83" s="1"/>
      <c r="W83" s="1"/>
      <c r="X83" s="1" t="s">
        <v>476</v>
      </c>
      <c r="Y83" s="1" t="s">
        <v>479</v>
      </c>
      <c r="Z83" s="1" t="s">
        <v>46</v>
      </c>
      <c r="AA83" s="1">
        <v>2020</v>
      </c>
      <c r="AB83" s="1" t="s">
        <v>44</v>
      </c>
      <c r="AC83" s="1" t="s">
        <v>45</v>
      </c>
      <c r="AD83" s="1" t="s">
        <v>43</v>
      </c>
      <c r="AE83" s="1" t="s">
        <v>43</v>
      </c>
      <c r="AF83" s="1"/>
      <c r="AG83" s="1" t="s">
        <v>43</v>
      </c>
      <c r="AH83" s="2">
        <v>44656</v>
      </c>
    </row>
    <row r="84" spans="1:34" x14ac:dyDescent="0.3">
      <c r="A84" s="1">
        <v>7360301</v>
      </c>
      <c r="B84" s="1">
        <v>23.67</v>
      </c>
      <c r="C84" s="1">
        <v>129</v>
      </c>
      <c r="D84" s="1">
        <v>169</v>
      </c>
      <c r="E84" s="1" t="s">
        <v>43</v>
      </c>
      <c r="F84" s="1">
        <v>0</v>
      </c>
      <c r="G84" s="1" t="s">
        <v>480</v>
      </c>
      <c r="H84" s="1" t="s">
        <v>481</v>
      </c>
      <c r="I84" s="1" t="str">
        <f>HYPERLINK("https://www.systembolaget.se/produkt/vin/chateau-du-cray-7360301/","https://www.systembolaget.se/produkt/vin/chateau-du-cray-7360301/")</f>
        <v>https://www.systembolaget.se/produkt/vin/chateau-du-cray-7360301/</v>
      </c>
      <c r="J84" s="1"/>
      <c r="K84" s="1">
        <v>23.67</v>
      </c>
      <c r="L84" s="2">
        <v>46133</v>
      </c>
      <c r="M84" s="1" t="s">
        <v>482</v>
      </c>
      <c r="N84" s="1">
        <v>0.73</v>
      </c>
      <c r="O84" s="1">
        <v>750</v>
      </c>
      <c r="P84" s="1">
        <v>12.5</v>
      </c>
      <c r="Q84" s="1" t="s">
        <v>38</v>
      </c>
      <c r="R84" s="1" t="s">
        <v>52</v>
      </c>
      <c r="S84" s="1"/>
      <c r="T84" s="1"/>
      <c r="U84" s="1" t="s">
        <v>101</v>
      </c>
      <c r="V84" s="1" t="s">
        <v>142</v>
      </c>
      <c r="W84" s="1"/>
      <c r="X84" s="1" t="s">
        <v>483</v>
      </c>
      <c r="Y84" s="1" t="s">
        <v>153</v>
      </c>
      <c r="Z84" s="1" t="s">
        <v>43</v>
      </c>
      <c r="AA84" s="1">
        <v>2022</v>
      </c>
      <c r="AB84" s="1" t="s">
        <v>77</v>
      </c>
      <c r="AC84" s="1" t="s">
        <v>45</v>
      </c>
      <c r="AD84" s="1" t="s">
        <v>43</v>
      </c>
      <c r="AE84" s="1" t="s">
        <v>43</v>
      </c>
      <c r="AF84" s="1"/>
      <c r="AG84" s="1" t="s">
        <v>43</v>
      </c>
      <c r="AH84" s="2">
        <v>46134</v>
      </c>
    </row>
    <row r="85" spans="1:34" x14ac:dyDescent="0.3">
      <c r="A85" s="1">
        <v>11101</v>
      </c>
      <c r="B85" s="1">
        <v>23.53</v>
      </c>
      <c r="C85" s="1">
        <v>299</v>
      </c>
      <c r="D85" s="1">
        <v>391</v>
      </c>
      <c r="E85" s="1" t="s">
        <v>43</v>
      </c>
      <c r="F85" s="1">
        <v>0</v>
      </c>
      <c r="G85" s="1" t="s">
        <v>484</v>
      </c>
      <c r="H85" s="1" t="s">
        <v>485</v>
      </c>
      <c r="I85" s="1" t="str">
        <f>HYPERLINK("https://www.systembolaget.se/produkt/sprit/platinum-11101/","https://www.systembolaget.se/produkt/sprit/platinum-11101/")</f>
        <v>https://www.systembolaget.se/produkt/sprit/platinum-11101/</v>
      </c>
      <c r="J85" s="1">
        <v>17.170000000000002</v>
      </c>
      <c r="K85" s="1">
        <v>23.53</v>
      </c>
      <c r="L85" s="2">
        <v>45389</v>
      </c>
      <c r="M85" s="1" t="s">
        <v>486</v>
      </c>
      <c r="N85" s="1">
        <v>0.88</v>
      </c>
      <c r="O85" s="1">
        <v>700</v>
      </c>
      <c r="P85" s="1">
        <v>37.5</v>
      </c>
      <c r="Q85" s="1" t="s">
        <v>308</v>
      </c>
      <c r="R85" s="1" t="s">
        <v>487</v>
      </c>
      <c r="S85" s="1" t="s">
        <v>488</v>
      </c>
      <c r="T85" s="1"/>
      <c r="U85" s="1" t="s">
        <v>253</v>
      </c>
      <c r="V85" s="1" t="s">
        <v>489</v>
      </c>
      <c r="W85" s="1"/>
      <c r="X85" s="1" t="s">
        <v>490</v>
      </c>
      <c r="Y85" s="1" t="s">
        <v>491</v>
      </c>
      <c r="Z85" s="1" t="s">
        <v>43</v>
      </c>
      <c r="AA85" s="1"/>
      <c r="AB85" s="1" t="s">
        <v>44</v>
      </c>
      <c r="AC85" s="1" t="s">
        <v>45</v>
      </c>
      <c r="AD85" s="1" t="s">
        <v>43</v>
      </c>
      <c r="AE85" s="1" t="s">
        <v>43</v>
      </c>
      <c r="AF85" s="1">
        <v>51</v>
      </c>
      <c r="AG85" s="1" t="s">
        <v>43</v>
      </c>
      <c r="AH85" s="2">
        <v>43252</v>
      </c>
    </row>
    <row r="86" spans="1:34" x14ac:dyDescent="0.3">
      <c r="A86" s="1">
        <v>245101</v>
      </c>
      <c r="B86" s="1">
        <v>23.33</v>
      </c>
      <c r="C86" s="1">
        <v>69</v>
      </c>
      <c r="D86" s="1">
        <v>90</v>
      </c>
      <c r="E86" s="1" t="s">
        <v>43</v>
      </c>
      <c r="F86" s="1">
        <v>0</v>
      </c>
      <c r="G86" s="1" t="s">
        <v>492</v>
      </c>
      <c r="H86" s="1" t="s">
        <v>493</v>
      </c>
      <c r="I86" s="1" t="str">
        <f>HYPERLINK("https://www.systembolaget.se/produkt/vin/chill-out-245101/","https://www.systembolaget.se/produkt/vin/chill-out-245101/")</f>
        <v>https://www.systembolaget.se/produkt/vin/chill-out-245101/</v>
      </c>
      <c r="J86" s="1">
        <v>22.47</v>
      </c>
      <c r="K86" s="1">
        <v>23.33</v>
      </c>
      <c r="L86" s="2">
        <v>45480</v>
      </c>
      <c r="M86" s="1" t="s">
        <v>494</v>
      </c>
      <c r="N86" s="1">
        <v>1.41</v>
      </c>
      <c r="O86" s="1">
        <v>750</v>
      </c>
      <c r="P86" s="1">
        <v>13</v>
      </c>
      <c r="Q86" s="1" t="s">
        <v>38</v>
      </c>
      <c r="R86" s="1" t="s">
        <v>52</v>
      </c>
      <c r="S86" s="1" t="s">
        <v>84</v>
      </c>
      <c r="T86" s="1"/>
      <c r="U86" s="1" t="s">
        <v>85</v>
      </c>
      <c r="V86" s="1" t="s">
        <v>86</v>
      </c>
      <c r="W86" s="1" t="s">
        <v>87</v>
      </c>
      <c r="X86" s="1" t="s">
        <v>495</v>
      </c>
      <c r="Y86" s="1" t="s">
        <v>496</v>
      </c>
      <c r="Z86" s="1" t="s">
        <v>46</v>
      </c>
      <c r="AA86" s="1">
        <v>2023</v>
      </c>
      <c r="AB86" s="1" t="s">
        <v>181</v>
      </c>
      <c r="AC86" s="1" t="s">
        <v>45</v>
      </c>
      <c r="AD86" s="1" t="s">
        <v>43</v>
      </c>
      <c r="AE86" s="1" t="s">
        <v>43</v>
      </c>
      <c r="AF86" s="1">
        <v>3</v>
      </c>
      <c r="AG86" s="1" t="s">
        <v>46</v>
      </c>
      <c r="AH86" s="2">
        <v>43710</v>
      </c>
    </row>
    <row r="87" spans="1:34" x14ac:dyDescent="0.3">
      <c r="A87" s="1">
        <v>7530201</v>
      </c>
      <c r="B87" s="1">
        <v>23.26</v>
      </c>
      <c r="C87" s="1">
        <v>99</v>
      </c>
      <c r="D87" s="1">
        <v>129</v>
      </c>
      <c r="E87" s="1" t="s">
        <v>43</v>
      </c>
      <c r="F87" s="1">
        <v>3</v>
      </c>
      <c r="G87" s="1" t="s">
        <v>497</v>
      </c>
      <c r="H87" s="1"/>
      <c r="I87" s="1" t="str">
        <f>HYPERLINK("https://www.systembolaget.se/produkt/vin/naranjo-7530201/","https://www.systembolaget.se/produkt/vin/naranjo-7530201/")</f>
        <v>https://www.systembolaget.se/produkt/vin/naranjo-7530201/</v>
      </c>
      <c r="J87" s="1">
        <v>23.26</v>
      </c>
      <c r="K87" s="1">
        <v>23.26</v>
      </c>
      <c r="L87" s="2">
        <v>45911</v>
      </c>
      <c r="M87" s="1" t="s">
        <v>498</v>
      </c>
      <c r="N87" s="1">
        <v>1.02</v>
      </c>
      <c r="O87" s="1">
        <v>750</v>
      </c>
      <c r="P87" s="1">
        <v>13.5</v>
      </c>
      <c r="Q87" s="1" t="s">
        <v>38</v>
      </c>
      <c r="R87" s="1" t="s">
        <v>39</v>
      </c>
      <c r="S87" s="1"/>
      <c r="T87" s="1"/>
      <c r="U87" s="1" t="s">
        <v>360</v>
      </c>
      <c r="V87" s="1"/>
      <c r="W87" s="1"/>
      <c r="X87" s="1" t="s">
        <v>499</v>
      </c>
      <c r="Y87" s="1" t="s">
        <v>500</v>
      </c>
      <c r="Z87" s="1" t="s">
        <v>43</v>
      </c>
      <c r="AA87" s="1"/>
      <c r="AB87" s="1" t="s">
        <v>44</v>
      </c>
      <c r="AC87" s="1" t="s">
        <v>45</v>
      </c>
      <c r="AD87" s="1" t="s">
        <v>43</v>
      </c>
      <c r="AE87" s="1" t="s">
        <v>43</v>
      </c>
      <c r="AF87" s="1"/>
      <c r="AG87" s="1" t="s">
        <v>43</v>
      </c>
      <c r="AH87" s="2">
        <v>45917</v>
      </c>
    </row>
    <row r="88" spans="1:34" x14ac:dyDescent="0.3">
      <c r="A88" s="1">
        <v>7131501</v>
      </c>
      <c r="B88" s="1">
        <v>23.23</v>
      </c>
      <c r="C88" s="1">
        <v>119</v>
      </c>
      <c r="D88" s="1">
        <v>155</v>
      </c>
      <c r="E88" s="1" t="s">
        <v>459</v>
      </c>
      <c r="F88" s="1">
        <v>0</v>
      </c>
      <c r="G88" s="1" t="s">
        <v>501</v>
      </c>
      <c r="H88" s="1" t="s">
        <v>502</v>
      </c>
      <c r="I88" s="1" t="str">
        <f>HYPERLINK("https://www.systembolaget.se/produkt/vin/baron-philippe-de-rothschild-chile-sa-7131501/","https://www.systembolaget.se/produkt/vin/baron-philippe-de-rothschild-chile-sa-7131501/")</f>
        <v>https://www.systembolaget.se/produkt/vin/baron-philippe-de-rothschild-chile-sa-7131501/</v>
      </c>
      <c r="J88" s="1">
        <v>40.200000000000003</v>
      </c>
      <c r="K88" s="1">
        <v>23.23</v>
      </c>
      <c r="L88" s="2">
        <v>45491</v>
      </c>
      <c r="M88" s="1" t="s">
        <v>503</v>
      </c>
      <c r="N88" s="1">
        <v>0.88</v>
      </c>
      <c r="O88" s="1">
        <v>750</v>
      </c>
      <c r="P88" s="1">
        <v>14</v>
      </c>
      <c r="Q88" s="1" t="s">
        <v>38</v>
      </c>
      <c r="R88" s="1" t="s">
        <v>52</v>
      </c>
      <c r="S88" s="1"/>
      <c r="T88" s="1"/>
      <c r="U88" s="1" t="s">
        <v>360</v>
      </c>
      <c r="V88" s="1" t="s">
        <v>504</v>
      </c>
      <c r="W88" s="1"/>
      <c r="X88" s="1" t="s">
        <v>501</v>
      </c>
      <c r="Y88" s="1" t="s">
        <v>153</v>
      </c>
      <c r="Z88" s="1" t="s">
        <v>43</v>
      </c>
      <c r="AA88" s="1">
        <v>2022</v>
      </c>
      <c r="AB88" s="1" t="s">
        <v>44</v>
      </c>
      <c r="AC88" s="1" t="s">
        <v>45</v>
      </c>
      <c r="AD88" s="1" t="s">
        <v>43</v>
      </c>
      <c r="AE88" s="1" t="s">
        <v>43</v>
      </c>
      <c r="AF88" s="1"/>
      <c r="AG88" s="1" t="s">
        <v>43</v>
      </c>
      <c r="AH88" s="2">
        <v>45355</v>
      </c>
    </row>
    <row r="89" spans="1:34" x14ac:dyDescent="0.3">
      <c r="A89" s="1">
        <v>7619401</v>
      </c>
      <c r="B89" s="1">
        <v>23.17</v>
      </c>
      <c r="C89" s="1">
        <v>199</v>
      </c>
      <c r="D89" s="1">
        <v>259</v>
      </c>
      <c r="E89" s="1" t="s">
        <v>43</v>
      </c>
      <c r="F89" s="1">
        <v>0</v>
      </c>
      <c r="G89" s="1" t="s">
        <v>505</v>
      </c>
      <c r="H89" s="1" t="s">
        <v>506</v>
      </c>
      <c r="I89" s="1" t="str">
        <f>HYPERLINK("https://www.systembolaget.se/produkt/vin/pouilly-fume-7619401/","https://www.systembolaget.se/produkt/vin/pouilly-fume-7619401/")</f>
        <v>https://www.systembolaget.se/produkt/vin/pouilly-fume-7619401/</v>
      </c>
      <c r="J89" s="1">
        <v>23.17</v>
      </c>
      <c r="K89" s="1">
        <v>23.17</v>
      </c>
      <c r="L89" s="2">
        <v>45444</v>
      </c>
      <c r="M89" s="1" t="s">
        <v>507</v>
      </c>
      <c r="N89" s="1">
        <v>0.47</v>
      </c>
      <c r="O89" s="1">
        <v>750</v>
      </c>
      <c r="P89" s="1">
        <v>12.5</v>
      </c>
      <c r="Q89" s="1" t="s">
        <v>38</v>
      </c>
      <c r="R89" s="1" t="s">
        <v>39</v>
      </c>
      <c r="S89" s="1"/>
      <c r="T89" s="1"/>
      <c r="U89" s="1" t="s">
        <v>101</v>
      </c>
      <c r="V89" s="1" t="s">
        <v>227</v>
      </c>
      <c r="W89" s="1" t="s">
        <v>508</v>
      </c>
      <c r="X89" s="1" t="s">
        <v>509</v>
      </c>
      <c r="Y89" s="1" t="s">
        <v>219</v>
      </c>
      <c r="Z89" s="1" t="s">
        <v>43</v>
      </c>
      <c r="AA89" s="1">
        <v>2021</v>
      </c>
      <c r="AB89" s="1" t="s">
        <v>44</v>
      </c>
      <c r="AC89" s="1" t="s">
        <v>45</v>
      </c>
      <c r="AD89" s="1" t="s">
        <v>43</v>
      </c>
      <c r="AE89" s="1" t="s">
        <v>43</v>
      </c>
      <c r="AF89" s="1"/>
      <c r="AG89" s="1" t="s">
        <v>43</v>
      </c>
      <c r="AH89" s="2">
        <v>43913</v>
      </c>
    </row>
    <row r="90" spans="1:34" x14ac:dyDescent="0.3">
      <c r="A90" s="1">
        <v>5589001</v>
      </c>
      <c r="B90" s="1">
        <v>22.81</v>
      </c>
      <c r="C90" s="1">
        <v>829</v>
      </c>
      <c r="D90" s="1">
        <v>1074</v>
      </c>
      <c r="E90" s="1" t="s">
        <v>43</v>
      </c>
      <c r="F90" s="1">
        <v>0</v>
      </c>
      <c r="G90" s="1" t="s">
        <v>510</v>
      </c>
      <c r="H90" s="1" t="s">
        <v>511</v>
      </c>
      <c r="I90" s="1" t="str">
        <f>HYPERLINK("https://www.systembolaget.se/produkt/sprit/annandale-5589001/","https://www.systembolaget.se/produkt/sprit/annandale-5589001/")</f>
        <v>https://www.systembolaget.se/produkt/sprit/annandale-5589001/</v>
      </c>
      <c r="J90" s="1">
        <v>22.74</v>
      </c>
      <c r="K90" s="1">
        <v>22.81</v>
      </c>
      <c r="L90" s="2">
        <v>45389</v>
      </c>
      <c r="M90" s="1" t="s">
        <v>512</v>
      </c>
      <c r="N90" s="1">
        <v>0.51</v>
      </c>
      <c r="O90" s="1">
        <v>700</v>
      </c>
      <c r="P90" s="1">
        <v>60.5</v>
      </c>
      <c r="Q90" s="1" t="s">
        <v>308</v>
      </c>
      <c r="R90" s="1" t="s">
        <v>309</v>
      </c>
      <c r="S90" s="1" t="s">
        <v>318</v>
      </c>
      <c r="T90" s="1"/>
      <c r="U90" s="1" t="s">
        <v>253</v>
      </c>
      <c r="V90" s="1" t="s">
        <v>254</v>
      </c>
      <c r="W90" s="1"/>
      <c r="X90" s="1" t="s">
        <v>510</v>
      </c>
      <c r="Y90" s="1" t="s">
        <v>513</v>
      </c>
      <c r="Z90" s="1" t="s">
        <v>43</v>
      </c>
      <c r="AA90" s="1"/>
      <c r="AB90" s="1" t="s">
        <v>44</v>
      </c>
      <c r="AC90" s="1" t="s">
        <v>45</v>
      </c>
      <c r="AD90" s="1" t="s">
        <v>43</v>
      </c>
      <c r="AE90" s="1" t="s">
        <v>43</v>
      </c>
      <c r="AF90" s="1"/>
      <c r="AG90" s="1" t="s">
        <v>43</v>
      </c>
      <c r="AH90" s="2">
        <v>44648</v>
      </c>
    </row>
    <row r="91" spans="1:34" x14ac:dyDescent="0.3">
      <c r="A91" s="1">
        <v>5589101</v>
      </c>
      <c r="B91" s="1">
        <v>22.81</v>
      </c>
      <c r="C91" s="1">
        <v>829</v>
      </c>
      <c r="D91" s="1">
        <v>1074</v>
      </c>
      <c r="E91" s="1" t="s">
        <v>43</v>
      </c>
      <c r="F91" s="1">
        <v>0</v>
      </c>
      <c r="G91" s="1" t="s">
        <v>510</v>
      </c>
      <c r="H91" s="1" t="s">
        <v>514</v>
      </c>
      <c r="I91" s="1" t="str">
        <f>HYPERLINK("https://www.systembolaget.se/produkt/sprit/annandale-5589101/","https://www.systembolaget.se/produkt/sprit/annandale-5589101/")</f>
        <v>https://www.systembolaget.se/produkt/sprit/annandale-5589101/</v>
      </c>
      <c r="J91" s="1">
        <v>22.74</v>
      </c>
      <c r="K91" s="1">
        <v>22.81</v>
      </c>
      <c r="L91" s="2">
        <v>45389</v>
      </c>
      <c r="M91" s="1" t="s">
        <v>512</v>
      </c>
      <c r="N91" s="1">
        <v>0.51</v>
      </c>
      <c r="O91" s="1">
        <v>700</v>
      </c>
      <c r="P91" s="1">
        <v>60.5</v>
      </c>
      <c r="Q91" s="1" t="s">
        <v>308</v>
      </c>
      <c r="R91" s="1" t="s">
        <v>309</v>
      </c>
      <c r="S91" s="1" t="s">
        <v>318</v>
      </c>
      <c r="T91" s="1"/>
      <c r="U91" s="1" t="s">
        <v>253</v>
      </c>
      <c r="V91" s="1" t="s">
        <v>254</v>
      </c>
      <c r="W91" s="1"/>
      <c r="X91" s="1" t="s">
        <v>510</v>
      </c>
      <c r="Y91" s="1" t="s">
        <v>513</v>
      </c>
      <c r="Z91" s="1" t="s">
        <v>43</v>
      </c>
      <c r="AA91" s="1"/>
      <c r="AB91" s="1" t="s">
        <v>44</v>
      </c>
      <c r="AC91" s="1" t="s">
        <v>45</v>
      </c>
      <c r="AD91" s="1" t="s">
        <v>43</v>
      </c>
      <c r="AE91" s="1" t="s">
        <v>43</v>
      </c>
      <c r="AF91" s="1"/>
      <c r="AG91" s="1" t="s">
        <v>43</v>
      </c>
      <c r="AH91" s="2">
        <v>44648</v>
      </c>
    </row>
    <row r="92" spans="1:34" x14ac:dyDescent="0.3">
      <c r="A92" s="1">
        <v>290001</v>
      </c>
      <c r="B92" s="1">
        <v>22.47</v>
      </c>
      <c r="C92" s="1">
        <v>69</v>
      </c>
      <c r="D92" s="1">
        <v>89</v>
      </c>
      <c r="E92" s="1" t="s">
        <v>459</v>
      </c>
      <c r="F92" s="1">
        <v>0</v>
      </c>
      <c r="G92" s="1" t="s">
        <v>515</v>
      </c>
      <c r="H92" s="1" t="s">
        <v>516</v>
      </c>
      <c r="I92" s="1" t="str">
        <f>HYPERLINK("https://www.systembolaget.se/produkt/vin/via-del-campo-290001/","https://www.systembolaget.se/produkt/vin/via-del-campo-290001/")</f>
        <v>https://www.systembolaget.se/produkt/vin/via-del-campo-290001/</v>
      </c>
      <c r="J92" s="1">
        <v>22.47</v>
      </c>
      <c r="K92" s="1">
        <v>22.47</v>
      </c>
      <c r="L92" s="2">
        <v>45524</v>
      </c>
      <c r="M92" s="1" t="s">
        <v>517</v>
      </c>
      <c r="N92" s="1">
        <v>1.36</v>
      </c>
      <c r="O92" s="1">
        <v>750</v>
      </c>
      <c r="P92" s="1">
        <v>12.5</v>
      </c>
      <c r="Q92" s="1" t="s">
        <v>38</v>
      </c>
      <c r="R92" s="1" t="s">
        <v>80</v>
      </c>
      <c r="S92" s="1" t="s">
        <v>84</v>
      </c>
      <c r="T92" s="1"/>
      <c r="U92" s="1" t="s">
        <v>164</v>
      </c>
      <c r="V92" s="1" t="s">
        <v>518</v>
      </c>
      <c r="W92" s="1" t="s">
        <v>519</v>
      </c>
      <c r="X92" s="1" t="s">
        <v>520</v>
      </c>
      <c r="Y92" s="1" t="s">
        <v>180</v>
      </c>
      <c r="Z92" s="1" t="s">
        <v>46</v>
      </c>
      <c r="AA92" s="1">
        <v>2023</v>
      </c>
      <c r="AB92" s="1" t="s">
        <v>77</v>
      </c>
      <c r="AC92" s="1" t="s">
        <v>45</v>
      </c>
      <c r="AD92" s="1" t="s">
        <v>43</v>
      </c>
      <c r="AE92" s="1" t="s">
        <v>43</v>
      </c>
      <c r="AF92" s="1"/>
      <c r="AG92" s="1" t="s">
        <v>43</v>
      </c>
      <c r="AH92" s="2">
        <v>40261</v>
      </c>
    </row>
    <row r="93" spans="1:34" x14ac:dyDescent="0.3">
      <c r="A93" s="1">
        <v>2011701</v>
      </c>
      <c r="B93" s="1">
        <v>22.47</v>
      </c>
      <c r="C93" s="1">
        <v>69</v>
      </c>
      <c r="D93" s="1">
        <v>89</v>
      </c>
      <c r="E93" s="1" t="s">
        <v>43</v>
      </c>
      <c r="F93" s="1">
        <v>0</v>
      </c>
      <c r="G93" s="1" t="s">
        <v>521</v>
      </c>
      <c r="H93" s="1" t="s">
        <v>522</v>
      </c>
      <c r="I93" s="1" t="str">
        <f>HYPERLINK("https://www.systembolaget.se/produkt/vin/indomita-gran-reserva-2011701/","https://www.systembolaget.se/produkt/vin/indomita-gran-reserva-2011701/")</f>
        <v>https://www.systembolaget.se/produkt/vin/indomita-gran-reserva-2011701/</v>
      </c>
      <c r="J93" s="1">
        <v>36.700000000000003</v>
      </c>
      <c r="K93" s="1">
        <v>22.47</v>
      </c>
      <c r="L93" s="2">
        <v>45696</v>
      </c>
      <c r="M93" s="1" t="s">
        <v>523</v>
      </c>
      <c r="N93" s="1">
        <v>1.52</v>
      </c>
      <c r="O93" s="1">
        <v>750</v>
      </c>
      <c r="P93" s="1">
        <v>14</v>
      </c>
      <c r="Q93" s="1" t="s">
        <v>38</v>
      </c>
      <c r="R93" s="1" t="s">
        <v>39</v>
      </c>
      <c r="S93" s="1" t="s">
        <v>184</v>
      </c>
      <c r="T93" s="1"/>
      <c r="U93" s="1" t="s">
        <v>360</v>
      </c>
      <c r="V93" s="1" t="s">
        <v>524</v>
      </c>
      <c r="W93" s="1" t="s">
        <v>525</v>
      </c>
      <c r="X93" s="1" t="s">
        <v>526</v>
      </c>
      <c r="Y93" s="1" t="s">
        <v>153</v>
      </c>
      <c r="Z93" s="1" t="s">
        <v>43</v>
      </c>
      <c r="AA93" s="1">
        <v>2023</v>
      </c>
      <c r="AB93" s="1" t="s">
        <v>77</v>
      </c>
      <c r="AC93" s="1" t="s">
        <v>45</v>
      </c>
      <c r="AD93" s="1" t="s">
        <v>43</v>
      </c>
      <c r="AE93" s="1" t="s">
        <v>43</v>
      </c>
      <c r="AF93" s="1">
        <v>2</v>
      </c>
      <c r="AG93" s="1" t="s">
        <v>43</v>
      </c>
      <c r="AH93" s="2">
        <v>45717</v>
      </c>
    </row>
    <row r="94" spans="1:34" x14ac:dyDescent="0.3">
      <c r="A94" s="1">
        <v>350102</v>
      </c>
      <c r="B94" s="1">
        <v>22.47</v>
      </c>
      <c r="C94" s="1">
        <v>69</v>
      </c>
      <c r="D94" s="1">
        <v>89</v>
      </c>
      <c r="E94" s="1" t="s">
        <v>43</v>
      </c>
      <c r="F94" s="1">
        <v>0</v>
      </c>
      <c r="G94" s="1" t="s">
        <v>404</v>
      </c>
      <c r="H94" s="1" t="s">
        <v>527</v>
      </c>
      <c r="I94" s="1" t="str">
        <f>HYPERLINK("https://www.systembolaget.se/produkt/vin/chateau-ste-michelle-350102/","https://www.systembolaget.se/produkt/vin/chateau-ste-michelle-350102/")</f>
        <v>https://www.systembolaget.se/produkt/vin/chateau-ste-michelle-350102/</v>
      </c>
      <c r="J94" s="1">
        <v>44.8</v>
      </c>
      <c r="K94" s="1">
        <v>22.47</v>
      </c>
      <c r="L94" s="2">
        <v>45389</v>
      </c>
      <c r="M94" s="1" t="s">
        <v>528</v>
      </c>
      <c r="N94" s="1">
        <v>0.79</v>
      </c>
      <c r="O94" s="1">
        <v>375</v>
      </c>
      <c r="P94" s="1">
        <v>14.5</v>
      </c>
      <c r="Q94" s="1" t="s">
        <v>38</v>
      </c>
      <c r="R94" s="1" t="s">
        <v>52</v>
      </c>
      <c r="S94" s="1" t="s">
        <v>84</v>
      </c>
      <c r="T94" s="1"/>
      <c r="U94" s="1" t="s">
        <v>73</v>
      </c>
      <c r="V94" s="1" t="s">
        <v>237</v>
      </c>
      <c r="W94" s="1" t="s">
        <v>238</v>
      </c>
      <c r="X94" s="1" t="s">
        <v>404</v>
      </c>
      <c r="Y94" s="1" t="s">
        <v>407</v>
      </c>
      <c r="Z94" s="1" t="s">
        <v>43</v>
      </c>
      <c r="AA94" s="1">
        <v>2021</v>
      </c>
      <c r="AB94" s="1" t="s">
        <v>44</v>
      </c>
      <c r="AC94" s="1" t="s">
        <v>45</v>
      </c>
      <c r="AD94" s="1" t="s">
        <v>43</v>
      </c>
      <c r="AE94" s="1" t="s">
        <v>43</v>
      </c>
      <c r="AF94" s="1">
        <v>3</v>
      </c>
      <c r="AG94" s="1" t="s">
        <v>43</v>
      </c>
      <c r="AH94" s="2">
        <v>43525</v>
      </c>
    </row>
    <row r="95" spans="1:34" x14ac:dyDescent="0.3">
      <c r="A95" s="1">
        <v>3522715</v>
      </c>
      <c r="B95" s="1">
        <v>22.44</v>
      </c>
      <c r="C95" s="1">
        <v>34.9</v>
      </c>
      <c r="D95" s="1">
        <v>45</v>
      </c>
      <c r="E95" s="1" t="s">
        <v>43</v>
      </c>
      <c r="F95" s="1">
        <v>0</v>
      </c>
      <c r="G95" s="1" t="s">
        <v>529</v>
      </c>
      <c r="H95" s="1" t="s">
        <v>530</v>
      </c>
      <c r="I95" s="1" t="str">
        <f>HYPERLINK("https://www.systembolaget.se/produkt/ol/lovnas-bryggeri-3522715/","https://www.systembolaget.se/produkt/ol/lovnas-bryggeri-3522715/")</f>
        <v>https://www.systembolaget.se/produkt/ol/lovnas-bryggeri-3522715/</v>
      </c>
      <c r="J95" s="1">
        <v>22.44</v>
      </c>
      <c r="K95" s="1">
        <v>22.44</v>
      </c>
      <c r="L95" s="2">
        <v>45796</v>
      </c>
      <c r="M95" s="1" t="s">
        <v>531</v>
      </c>
      <c r="N95" s="1">
        <v>0.76</v>
      </c>
      <c r="O95" s="1">
        <v>330</v>
      </c>
      <c r="P95" s="1">
        <v>8</v>
      </c>
      <c r="Q95" s="1" t="s">
        <v>107</v>
      </c>
      <c r="R95" s="1" t="s">
        <v>108</v>
      </c>
      <c r="S95" s="1" t="s">
        <v>532</v>
      </c>
      <c r="T95" s="1"/>
      <c r="U95" s="1" t="s">
        <v>110</v>
      </c>
      <c r="V95" s="1" t="s">
        <v>380</v>
      </c>
      <c r="W95" s="1" t="s">
        <v>533</v>
      </c>
      <c r="X95" s="1" t="s">
        <v>529</v>
      </c>
      <c r="Y95" s="1" t="s">
        <v>534</v>
      </c>
      <c r="Z95" s="1" t="s">
        <v>43</v>
      </c>
      <c r="AA95" s="1"/>
      <c r="AB95" s="1" t="s">
        <v>114</v>
      </c>
      <c r="AC95" s="1" t="s">
        <v>115</v>
      </c>
      <c r="AD95" s="1" t="s">
        <v>46</v>
      </c>
      <c r="AE95" s="1" t="s">
        <v>43</v>
      </c>
      <c r="AF95" s="1"/>
      <c r="AG95" s="1" t="s">
        <v>43</v>
      </c>
      <c r="AH95" s="2">
        <v>45817</v>
      </c>
    </row>
    <row r="96" spans="1:34" x14ac:dyDescent="0.3">
      <c r="A96" s="1">
        <v>5365001</v>
      </c>
      <c r="B96" s="1">
        <v>22</v>
      </c>
      <c r="C96" s="1">
        <v>319</v>
      </c>
      <c r="D96" s="1">
        <v>409</v>
      </c>
      <c r="E96" s="1" t="s">
        <v>43</v>
      </c>
      <c r="F96" s="1">
        <v>0</v>
      </c>
      <c r="G96" s="1" t="s">
        <v>535</v>
      </c>
      <c r="H96" s="1" t="s">
        <v>536</v>
      </c>
      <c r="I96" s="1" t="str">
        <f>HYPERLINK("https://www.systembolaget.se/produkt/vin/barbaresco-5365001/","https://www.systembolaget.se/produkt/vin/barbaresco-5365001/")</f>
        <v>https://www.systembolaget.se/produkt/vin/barbaresco-5365001/</v>
      </c>
      <c r="J96" s="1">
        <v>22</v>
      </c>
      <c r="K96" s="1">
        <v>22</v>
      </c>
      <c r="L96" s="2">
        <v>45389</v>
      </c>
      <c r="M96" s="1" t="s">
        <v>537</v>
      </c>
      <c r="N96" s="1">
        <v>0.34</v>
      </c>
      <c r="O96" s="1">
        <v>750</v>
      </c>
      <c r="P96" s="1">
        <v>14.5</v>
      </c>
      <c r="Q96" s="1" t="s">
        <v>38</v>
      </c>
      <c r="R96" s="1" t="s">
        <v>52</v>
      </c>
      <c r="S96" s="1"/>
      <c r="T96" s="1"/>
      <c r="U96" s="1" t="s">
        <v>53</v>
      </c>
      <c r="V96" s="1" t="s">
        <v>95</v>
      </c>
      <c r="W96" s="1" t="s">
        <v>535</v>
      </c>
      <c r="X96" s="1" t="s">
        <v>538</v>
      </c>
      <c r="Y96" s="1" t="s">
        <v>539</v>
      </c>
      <c r="Z96" s="1" t="s">
        <v>43</v>
      </c>
      <c r="AA96" s="1">
        <v>2018</v>
      </c>
      <c r="AB96" s="1" t="s">
        <v>77</v>
      </c>
      <c r="AC96" s="1" t="s">
        <v>45</v>
      </c>
      <c r="AD96" s="1" t="s">
        <v>43</v>
      </c>
      <c r="AE96" s="1" t="s">
        <v>43</v>
      </c>
      <c r="AF96" s="1"/>
      <c r="AG96" s="1" t="s">
        <v>43</v>
      </c>
      <c r="AH96" s="2">
        <v>45040</v>
      </c>
    </row>
    <row r="97" spans="1:34" x14ac:dyDescent="0.3">
      <c r="A97" s="1">
        <v>8241101</v>
      </c>
      <c r="B97" s="1">
        <v>21.67</v>
      </c>
      <c r="C97" s="1">
        <v>329</v>
      </c>
      <c r="D97" s="1">
        <v>420</v>
      </c>
      <c r="E97" s="1" t="s">
        <v>43</v>
      </c>
      <c r="F97" s="1">
        <v>0</v>
      </c>
      <c r="G97" s="1" t="s">
        <v>540</v>
      </c>
      <c r="H97" s="1"/>
      <c r="I97" s="1" t="str">
        <f>HYPERLINK("https://www.systembolaget.se/produkt/sprit/edinburgh-gin-8241101/","https://www.systembolaget.se/produkt/sprit/edinburgh-gin-8241101/")</f>
        <v>https://www.systembolaget.se/produkt/sprit/edinburgh-gin-8241101/</v>
      </c>
      <c r="J97" s="1">
        <v>21.48</v>
      </c>
      <c r="K97" s="1">
        <v>21.67</v>
      </c>
      <c r="L97" s="2">
        <v>45490</v>
      </c>
      <c r="M97" s="1" t="s">
        <v>541</v>
      </c>
      <c r="N97" s="1">
        <v>0.91</v>
      </c>
      <c r="O97" s="1">
        <v>700</v>
      </c>
      <c r="P97" s="1">
        <v>43</v>
      </c>
      <c r="Q97" s="1" t="s">
        <v>308</v>
      </c>
      <c r="R97" s="1" t="s">
        <v>487</v>
      </c>
      <c r="S97" s="1" t="s">
        <v>488</v>
      </c>
      <c r="T97" s="1"/>
      <c r="U97" s="1" t="s">
        <v>253</v>
      </c>
      <c r="V97" s="1" t="s">
        <v>254</v>
      </c>
      <c r="W97" s="1"/>
      <c r="X97" s="1" t="s">
        <v>542</v>
      </c>
      <c r="Y97" s="1" t="s">
        <v>256</v>
      </c>
      <c r="Z97" s="1" t="s">
        <v>43</v>
      </c>
      <c r="AA97" s="1"/>
      <c r="AB97" s="1" t="s">
        <v>44</v>
      </c>
      <c r="AC97" s="1" t="s">
        <v>45</v>
      </c>
      <c r="AD97" s="1" t="s">
        <v>43</v>
      </c>
      <c r="AE97" s="1" t="s">
        <v>43</v>
      </c>
      <c r="AF97" s="1"/>
      <c r="AG97" s="1" t="s">
        <v>43</v>
      </c>
      <c r="AH97" s="2">
        <v>43318</v>
      </c>
    </row>
    <row r="98" spans="1:34" x14ac:dyDescent="0.3">
      <c r="A98" s="1">
        <v>8332902</v>
      </c>
      <c r="B98" s="1">
        <v>21.16</v>
      </c>
      <c r="C98" s="1">
        <v>149</v>
      </c>
      <c r="D98" s="1">
        <v>189</v>
      </c>
      <c r="E98" s="1" t="s">
        <v>43</v>
      </c>
      <c r="F98" s="1">
        <v>0</v>
      </c>
      <c r="G98" s="1" t="s">
        <v>543</v>
      </c>
      <c r="H98" s="1" t="s">
        <v>544</v>
      </c>
      <c r="I98" s="1" t="str">
        <f>HYPERLINK("https://www.systembolaget.se/produkt/sprit/crude-oil-by-pistonhead-8332902/","https://www.systembolaget.se/produkt/sprit/crude-oil-by-pistonhead-8332902/")</f>
        <v>https://www.systembolaget.se/produkt/sprit/crude-oil-by-pistonhead-8332902/</v>
      </c>
      <c r="J98" s="1">
        <v>16.760000000000002</v>
      </c>
      <c r="K98" s="1">
        <v>21.16</v>
      </c>
      <c r="L98" s="2">
        <v>45389</v>
      </c>
      <c r="M98" s="1" t="s">
        <v>545</v>
      </c>
      <c r="N98" s="1">
        <v>1.01</v>
      </c>
      <c r="O98" s="1">
        <v>500</v>
      </c>
      <c r="P98" s="1">
        <v>30</v>
      </c>
      <c r="Q98" s="1" t="s">
        <v>308</v>
      </c>
      <c r="R98" s="1" t="s">
        <v>378</v>
      </c>
      <c r="S98" s="1" t="s">
        <v>546</v>
      </c>
      <c r="T98" s="1"/>
      <c r="U98" s="1" t="s">
        <v>110</v>
      </c>
      <c r="V98" s="1"/>
      <c r="W98" s="1"/>
      <c r="X98" s="1" t="s">
        <v>547</v>
      </c>
      <c r="Y98" s="1" t="s">
        <v>285</v>
      </c>
      <c r="Z98" s="1" t="s">
        <v>43</v>
      </c>
      <c r="AA98" s="1"/>
      <c r="AB98" s="1" t="s">
        <v>77</v>
      </c>
      <c r="AC98" s="1" t="s">
        <v>45</v>
      </c>
      <c r="AD98" s="1" t="s">
        <v>43</v>
      </c>
      <c r="AE98" s="1" t="s">
        <v>43</v>
      </c>
      <c r="AF98" s="1">
        <v>128</v>
      </c>
      <c r="AG98" s="1" t="s">
        <v>43</v>
      </c>
      <c r="AH98" s="2">
        <v>43661</v>
      </c>
    </row>
    <row r="99" spans="1:34" x14ac:dyDescent="0.3">
      <c r="A99" s="1">
        <v>7917201</v>
      </c>
      <c r="B99" s="1">
        <v>21.16</v>
      </c>
      <c r="C99" s="1">
        <v>149</v>
      </c>
      <c r="D99" s="1">
        <v>189</v>
      </c>
      <c r="E99" s="1" t="s">
        <v>43</v>
      </c>
      <c r="F99" s="1">
        <v>0</v>
      </c>
      <c r="G99" s="1" t="s">
        <v>91</v>
      </c>
      <c r="H99" s="1" t="s">
        <v>548</v>
      </c>
      <c r="I99" s="1" t="str">
        <f>HYPERLINK("https://www.systembolaget.se/produkt/vin/pico-maccario-7917201/","https://www.systembolaget.se/produkt/vin/pico-maccario-7917201/")</f>
        <v>https://www.systembolaget.se/produkt/vin/pico-maccario-7917201/</v>
      </c>
      <c r="J99" s="1">
        <v>25.13</v>
      </c>
      <c r="K99" s="1">
        <v>21.16</v>
      </c>
      <c r="L99" s="2">
        <v>45733</v>
      </c>
      <c r="M99" s="1" t="s">
        <v>549</v>
      </c>
      <c r="N99" s="1">
        <v>0.65</v>
      </c>
      <c r="O99" s="1">
        <v>750</v>
      </c>
      <c r="P99" s="1">
        <v>13</v>
      </c>
      <c r="Q99" s="1" t="s">
        <v>38</v>
      </c>
      <c r="R99" s="1" t="s">
        <v>52</v>
      </c>
      <c r="S99" s="1"/>
      <c r="T99" s="1"/>
      <c r="U99" s="1" t="s">
        <v>53</v>
      </c>
      <c r="V99" s="1" t="s">
        <v>95</v>
      </c>
      <c r="W99" s="1" t="s">
        <v>550</v>
      </c>
      <c r="X99" s="1" t="s">
        <v>91</v>
      </c>
      <c r="Y99" s="1" t="s">
        <v>97</v>
      </c>
      <c r="Z99" s="1" t="s">
        <v>43</v>
      </c>
      <c r="AA99" s="1">
        <v>2024</v>
      </c>
      <c r="AB99" s="1" t="s">
        <v>44</v>
      </c>
      <c r="AC99" s="1" t="s">
        <v>45</v>
      </c>
      <c r="AD99" s="1" t="s">
        <v>43</v>
      </c>
      <c r="AE99" s="1" t="s">
        <v>43</v>
      </c>
      <c r="AF99" s="1"/>
      <c r="AG99" s="1" t="s">
        <v>43</v>
      </c>
      <c r="AH99" s="2">
        <v>45740</v>
      </c>
    </row>
    <row r="100" spans="1:34" x14ac:dyDescent="0.3">
      <c r="A100" s="1">
        <v>8824903</v>
      </c>
      <c r="B100" s="1">
        <v>20.76</v>
      </c>
      <c r="C100" s="1">
        <v>22.9</v>
      </c>
      <c r="D100" s="1">
        <v>28.9</v>
      </c>
      <c r="E100" s="1" t="s">
        <v>551</v>
      </c>
      <c r="F100" s="1">
        <v>0</v>
      </c>
      <c r="G100" s="1" t="s">
        <v>552</v>
      </c>
      <c r="H100" s="1"/>
      <c r="I100" s="1" t="str">
        <f>HYPERLINK("https://www.systembolaget.se/produkt/ol/lucky-buddha-8824903/","https://www.systembolaget.se/produkt/ol/lucky-buddha-8824903/")</f>
        <v>https://www.systembolaget.se/produkt/ol/lucky-buddha-8824903/</v>
      </c>
      <c r="J100" s="1">
        <v>20.76</v>
      </c>
      <c r="K100" s="1">
        <v>20.76</v>
      </c>
      <c r="L100" s="2">
        <v>45492</v>
      </c>
      <c r="M100" s="1" t="s">
        <v>553</v>
      </c>
      <c r="N100" s="1">
        <v>0.68</v>
      </c>
      <c r="O100" s="1">
        <v>330</v>
      </c>
      <c r="P100" s="1">
        <v>4.7</v>
      </c>
      <c r="Q100" s="1" t="s">
        <v>107</v>
      </c>
      <c r="R100" s="1" t="s">
        <v>134</v>
      </c>
      <c r="S100" s="1" t="s">
        <v>243</v>
      </c>
      <c r="T100" s="1"/>
      <c r="U100" s="1" t="s">
        <v>554</v>
      </c>
      <c r="V100" s="1"/>
      <c r="W100" s="1"/>
      <c r="X100" s="1" t="s">
        <v>555</v>
      </c>
      <c r="Y100" s="1" t="s">
        <v>215</v>
      </c>
      <c r="Z100" s="1" t="s">
        <v>43</v>
      </c>
      <c r="AA100" s="1"/>
      <c r="AB100" s="1" t="s">
        <v>44</v>
      </c>
      <c r="AC100" s="1" t="s">
        <v>90</v>
      </c>
      <c r="AD100" s="1" t="s">
        <v>43</v>
      </c>
      <c r="AE100" s="1" t="s">
        <v>43</v>
      </c>
      <c r="AF100" s="1"/>
      <c r="AG100" s="1" t="s">
        <v>43</v>
      </c>
      <c r="AH100" s="2">
        <v>42065</v>
      </c>
    </row>
    <row r="101" spans="1:34" x14ac:dyDescent="0.3">
      <c r="A101" s="1">
        <v>5664401</v>
      </c>
      <c r="B101" s="1">
        <v>20.69</v>
      </c>
      <c r="C101" s="1">
        <v>115</v>
      </c>
      <c r="D101" s="1">
        <v>145</v>
      </c>
      <c r="E101" s="1" t="s">
        <v>43</v>
      </c>
      <c r="F101" s="1">
        <v>6</v>
      </c>
      <c r="G101" s="1" t="s">
        <v>556</v>
      </c>
      <c r="H101" s="1" t="s">
        <v>557</v>
      </c>
      <c r="I101" s="1" t="str">
        <f>HYPERLINK("https://www.systembolaget.se/produkt/vin/cellier-des-dauphins-5664401/","https://www.systembolaget.se/produkt/vin/cellier-des-dauphins-5664401/")</f>
        <v>https://www.systembolaget.se/produkt/vin/cellier-des-dauphins-5664401/</v>
      </c>
      <c r="J101" s="1">
        <v>17.27</v>
      </c>
      <c r="K101" s="1">
        <v>20.69</v>
      </c>
      <c r="L101" s="2">
        <v>45389</v>
      </c>
      <c r="M101" s="1" t="s">
        <v>558</v>
      </c>
      <c r="N101" s="1">
        <v>0.98</v>
      </c>
      <c r="O101" s="1">
        <v>750</v>
      </c>
      <c r="P101" s="1">
        <v>15</v>
      </c>
      <c r="Q101" s="1" t="s">
        <v>38</v>
      </c>
      <c r="R101" s="1" t="s">
        <v>52</v>
      </c>
      <c r="S101" s="1"/>
      <c r="T101" s="1"/>
      <c r="U101" s="1" t="s">
        <v>101</v>
      </c>
      <c r="V101" s="1" t="s">
        <v>474</v>
      </c>
      <c r="W101" s="1" t="s">
        <v>559</v>
      </c>
      <c r="X101" s="1" t="s">
        <v>556</v>
      </c>
      <c r="Y101" s="1" t="s">
        <v>153</v>
      </c>
      <c r="Z101" s="1" t="s">
        <v>43</v>
      </c>
      <c r="AA101" s="1">
        <v>2021</v>
      </c>
      <c r="AB101" s="1" t="s">
        <v>44</v>
      </c>
      <c r="AC101" s="1" t="s">
        <v>45</v>
      </c>
      <c r="AD101" s="1" t="s">
        <v>43</v>
      </c>
      <c r="AE101" s="1" t="s">
        <v>43</v>
      </c>
      <c r="AF101" s="1"/>
      <c r="AG101" s="1" t="s">
        <v>43</v>
      </c>
      <c r="AH101" s="2">
        <v>44664</v>
      </c>
    </row>
    <row r="102" spans="1:34" x14ac:dyDescent="0.3">
      <c r="A102" s="1">
        <v>1301814</v>
      </c>
      <c r="B102" s="1">
        <v>20.41</v>
      </c>
      <c r="C102" s="1">
        <v>39</v>
      </c>
      <c r="D102" s="1">
        <v>49</v>
      </c>
      <c r="E102" s="1" t="s">
        <v>43</v>
      </c>
      <c r="F102" s="1">
        <v>0</v>
      </c>
      <c r="G102" s="1" t="s">
        <v>560</v>
      </c>
      <c r="H102" s="1" t="s">
        <v>561</v>
      </c>
      <c r="I102" s="1" t="str">
        <f>HYPERLINK("https://www.systembolaget.se/produkt/vin/toi-toi-1301814/","https://www.systembolaget.se/produkt/vin/toi-toi-1301814/")</f>
        <v>https://www.systembolaget.se/produkt/vin/toi-toi-1301814/</v>
      </c>
      <c r="J102" s="1">
        <v>33.9</v>
      </c>
      <c r="K102" s="1">
        <v>20.41</v>
      </c>
      <c r="L102" s="2">
        <v>45389</v>
      </c>
      <c r="M102" s="1" t="s">
        <v>562</v>
      </c>
      <c r="N102" s="1">
        <v>0.8</v>
      </c>
      <c r="O102" s="1">
        <v>250</v>
      </c>
      <c r="P102" s="1">
        <v>12.5</v>
      </c>
      <c r="Q102" s="1" t="s">
        <v>38</v>
      </c>
      <c r="R102" s="1" t="s">
        <v>52</v>
      </c>
      <c r="S102" s="1" t="s">
        <v>72</v>
      </c>
      <c r="T102" s="1"/>
      <c r="U102" s="1" t="s">
        <v>387</v>
      </c>
      <c r="V102" s="1" t="s">
        <v>421</v>
      </c>
      <c r="W102" s="1"/>
      <c r="X102" s="1" t="s">
        <v>563</v>
      </c>
      <c r="Y102" s="1" t="s">
        <v>564</v>
      </c>
      <c r="Z102" s="1" t="s">
        <v>43</v>
      </c>
      <c r="AA102" s="1">
        <v>2022</v>
      </c>
      <c r="AB102" s="1" t="s">
        <v>114</v>
      </c>
      <c r="AC102" s="1" t="s">
        <v>45</v>
      </c>
      <c r="AD102" s="1" t="s">
        <v>43</v>
      </c>
      <c r="AE102" s="1" t="s">
        <v>43</v>
      </c>
      <c r="AF102" s="1">
        <v>2</v>
      </c>
      <c r="AG102" s="1" t="s">
        <v>43</v>
      </c>
      <c r="AH102" s="2">
        <v>44986</v>
      </c>
    </row>
    <row r="103" spans="1:34" x14ac:dyDescent="0.3">
      <c r="A103" s="1">
        <v>219601</v>
      </c>
      <c r="B103" s="1">
        <v>20.2</v>
      </c>
      <c r="C103" s="1">
        <v>79</v>
      </c>
      <c r="D103" s="1">
        <v>99</v>
      </c>
      <c r="E103" s="1" t="s">
        <v>43</v>
      </c>
      <c r="F103" s="1">
        <v>0</v>
      </c>
      <c r="G103" s="1" t="s">
        <v>565</v>
      </c>
      <c r="H103" s="1" t="s">
        <v>566</v>
      </c>
      <c r="I103" s="1" t="str">
        <f>HYPERLINK("https://www.systembolaget.se/produkt/vin/le-sablou-219601/","https://www.systembolaget.se/produkt/vin/le-sablou-219601/")</f>
        <v>https://www.systembolaget.se/produkt/vin/le-sablou-219601/</v>
      </c>
      <c r="J103" s="1">
        <v>11.24</v>
      </c>
      <c r="K103" s="1">
        <v>20.2</v>
      </c>
      <c r="L103" s="2">
        <v>45389</v>
      </c>
      <c r="M103" s="1" t="s">
        <v>567</v>
      </c>
      <c r="N103" s="1">
        <v>1.38</v>
      </c>
      <c r="O103" s="1">
        <v>750</v>
      </c>
      <c r="P103" s="1">
        <v>14.5</v>
      </c>
      <c r="Q103" s="1" t="s">
        <v>38</v>
      </c>
      <c r="R103" s="1" t="s">
        <v>52</v>
      </c>
      <c r="S103" s="1" t="s">
        <v>84</v>
      </c>
      <c r="T103" s="1"/>
      <c r="U103" s="1" t="s">
        <v>101</v>
      </c>
      <c r="V103" s="1" t="s">
        <v>568</v>
      </c>
      <c r="W103" s="1" t="s">
        <v>566</v>
      </c>
      <c r="X103" s="1" t="s">
        <v>569</v>
      </c>
      <c r="Y103" s="1" t="s">
        <v>153</v>
      </c>
      <c r="Z103" s="1" t="s">
        <v>46</v>
      </c>
      <c r="AA103" s="1">
        <v>2023</v>
      </c>
      <c r="AB103" s="1" t="s">
        <v>77</v>
      </c>
      <c r="AC103" s="1" t="s">
        <v>45</v>
      </c>
      <c r="AD103" s="1" t="s">
        <v>43</v>
      </c>
      <c r="AE103" s="1" t="s">
        <v>43</v>
      </c>
      <c r="AF103" s="1">
        <v>2</v>
      </c>
      <c r="AG103" s="1" t="s">
        <v>43</v>
      </c>
      <c r="AH103" s="2">
        <v>45170</v>
      </c>
    </row>
    <row r="104" spans="1:34" x14ac:dyDescent="0.3">
      <c r="A104" s="1">
        <v>5664301</v>
      </c>
      <c r="B104" s="1">
        <v>20.2</v>
      </c>
      <c r="C104" s="1">
        <v>79</v>
      </c>
      <c r="D104" s="1">
        <v>99</v>
      </c>
      <c r="E104" s="1" t="s">
        <v>43</v>
      </c>
      <c r="F104" s="1">
        <v>0</v>
      </c>
      <c r="G104" s="1" t="s">
        <v>570</v>
      </c>
      <c r="H104" s="1" t="s">
        <v>63</v>
      </c>
      <c r="I104" s="1" t="str">
        <f>HYPERLINK("https://www.systembolaget.se/produkt/vin/altero-5664301/","https://www.systembolaget.se/produkt/vin/altero-5664301/")</f>
        <v>https://www.systembolaget.se/produkt/vin/altero-5664301/</v>
      </c>
      <c r="J104" s="1">
        <v>20.2</v>
      </c>
      <c r="K104" s="1">
        <v>20.2</v>
      </c>
      <c r="L104" s="2">
        <v>45433</v>
      </c>
      <c r="M104" s="1" t="s">
        <v>571</v>
      </c>
      <c r="N104" s="1">
        <v>1.23</v>
      </c>
      <c r="O104" s="1">
        <v>750</v>
      </c>
      <c r="P104" s="1">
        <v>13</v>
      </c>
      <c r="Q104" s="1" t="s">
        <v>38</v>
      </c>
      <c r="R104" s="1" t="s">
        <v>52</v>
      </c>
      <c r="S104" s="1" t="s">
        <v>386</v>
      </c>
      <c r="T104" s="1"/>
      <c r="U104" s="1" t="s">
        <v>53</v>
      </c>
      <c r="V104" s="1" t="s">
        <v>63</v>
      </c>
      <c r="W104" s="1"/>
      <c r="X104" s="1" t="s">
        <v>76</v>
      </c>
      <c r="Y104" s="1" t="s">
        <v>76</v>
      </c>
      <c r="Z104" s="1" t="s">
        <v>43</v>
      </c>
      <c r="AA104" s="1">
        <v>2017</v>
      </c>
      <c r="AB104" s="1" t="s">
        <v>77</v>
      </c>
      <c r="AC104" s="1" t="s">
        <v>45</v>
      </c>
      <c r="AD104" s="1" t="s">
        <v>43</v>
      </c>
      <c r="AE104" s="1" t="s">
        <v>43</v>
      </c>
      <c r="AF104" s="1">
        <v>6</v>
      </c>
      <c r="AG104" s="1" t="s">
        <v>43</v>
      </c>
      <c r="AH104" s="2">
        <v>45215</v>
      </c>
    </row>
    <row r="105" spans="1:34" x14ac:dyDescent="0.3">
      <c r="A105" s="1">
        <v>7059701</v>
      </c>
      <c r="B105" s="1">
        <v>20.2</v>
      </c>
      <c r="C105" s="1">
        <v>79</v>
      </c>
      <c r="D105" s="1">
        <v>99</v>
      </c>
      <c r="E105" s="1" t="s">
        <v>43</v>
      </c>
      <c r="F105" s="1">
        <v>0</v>
      </c>
      <c r="G105" s="1" t="s">
        <v>572</v>
      </c>
      <c r="H105" s="1" t="s">
        <v>281</v>
      </c>
      <c r="I105" s="1" t="str">
        <f>HYPERLINK("https://www.systembolaget.se/produkt/vin/my-way-7059701/","https://www.systembolaget.se/produkt/vin/my-way-7059701/")</f>
        <v>https://www.systembolaget.se/produkt/vin/my-way-7059701/</v>
      </c>
      <c r="J105" s="1">
        <v>20.2</v>
      </c>
      <c r="K105" s="1">
        <v>20.2</v>
      </c>
      <c r="L105" s="2">
        <v>45504</v>
      </c>
      <c r="M105" s="1" t="s">
        <v>571</v>
      </c>
      <c r="N105" s="1">
        <v>1.28</v>
      </c>
      <c r="O105" s="1">
        <v>750</v>
      </c>
      <c r="P105" s="1">
        <v>13.5</v>
      </c>
      <c r="Q105" s="1" t="s">
        <v>38</v>
      </c>
      <c r="R105" s="1" t="s">
        <v>39</v>
      </c>
      <c r="S105" s="1"/>
      <c r="T105" s="1"/>
      <c r="U105" s="1" t="s">
        <v>73</v>
      </c>
      <c r="V105" s="1" t="s">
        <v>74</v>
      </c>
      <c r="W105" s="1"/>
      <c r="X105" s="1" t="s">
        <v>179</v>
      </c>
      <c r="Y105" s="1" t="s">
        <v>180</v>
      </c>
      <c r="Z105" s="1" t="s">
        <v>43</v>
      </c>
      <c r="AA105" s="1"/>
      <c r="AB105" s="1" t="s">
        <v>44</v>
      </c>
      <c r="AC105" s="1" t="s">
        <v>45</v>
      </c>
      <c r="AD105" s="1" t="s">
        <v>43</v>
      </c>
      <c r="AE105" s="1" t="s">
        <v>43</v>
      </c>
      <c r="AF105" s="1"/>
      <c r="AG105" s="1" t="s">
        <v>43</v>
      </c>
      <c r="AH105" s="2">
        <v>45497</v>
      </c>
    </row>
    <row r="106" spans="1:34" x14ac:dyDescent="0.3">
      <c r="A106" s="1">
        <v>7526801</v>
      </c>
      <c r="B106" s="1">
        <v>20.2</v>
      </c>
      <c r="C106" s="1">
        <v>79</v>
      </c>
      <c r="D106" s="1">
        <v>99</v>
      </c>
      <c r="E106" s="1" t="s">
        <v>43</v>
      </c>
      <c r="F106" s="1">
        <v>0</v>
      </c>
      <c r="G106" s="1" t="s">
        <v>572</v>
      </c>
      <c r="H106" s="1" t="s">
        <v>348</v>
      </c>
      <c r="I106" s="1" t="str">
        <f>HYPERLINK("https://www.systembolaget.se/produkt/vin/my-way-7526801/","https://www.systembolaget.se/produkt/vin/my-way-7526801/")</f>
        <v>https://www.systembolaget.se/produkt/vin/my-way-7526801/</v>
      </c>
      <c r="J106" s="1">
        <v>20.2</v>
      </c>
      <c r="K106" s="1">
        <v>20.2</v>
      </c>
      <c r="L106" s="2">
        <v>45504</v>
      </c>
      <c r="M106" s="1" t="s">
        <v>571</v>
      </c>
      <c r="N106" s="1">
        <v>1.28</v>
      </c>
      <c r="O106" s="1">
        <v>750</v>
      </c>
      <c r="P106" s="1">
        <v>13.5</v>
      </c>
      <c r="Q106" s="1" t="s">
        <v>38</v>
      </c>
      <c r="R106" s="1" t="s">
        <v>52</v>
      </c>
      <c r="S106" s="1"/>
      <c r="T106" s="1"/>
      <c r="U106" s="1" t="s">
        <v>73</v>
      </c>
      <c r="V106" s="1" t="s">
        <v>74</v>
      </c>
      <c r="W106" s="1"/>
      <c r="X106" s="1" t="s">
        <v>180</v>
      </c>
      <c r="Y106" s="1" t="s">
        <v>180</v>
      </c>
      <c r="Z106" s="1" t="s">
        <v>43</v>
      </c>
      <c r="AA106" s="1"/>
      <c r="AB106" s="1" t="s">
        <v>44</v>
      </c>
      <c r="AC106" s="1" t="s">
        <v>45</v>
      </c>
      <c r="AD106" s="1" t="s">
        <v>43</v>
      </c>
      <c r="AE106" s="1" t="s">
        <v>43</v>
      </c>
      <c r="AF106" s="1"/>
      <c r="AG106" s="1" t="s">
        <v>43</v>
      </c>
      <c r="AH106" s="2">
        <v>45497</v>
      </c>
    </row>
    <row r="107" spans="1:34" x14ac:dyDescent="0.3">
      <c r="A107" s="1">
        <v>7433601</v>
      </c>
      <c r="B107" s="1">
        <v>20.2</v>
      </c>
      <c r="C107" s="1">
        <v>79</v>
      </c>
      <c r="D107" s="1">
        <v>99</v>
      </c>
      <c r="E107" s="1" t="s">
        <v>43</v>
      </c>
      <c r="F107" s="1">
        <v>0</v>
      </c>
      <c r="G107" s="1" t="s">
        <v>573</v>
      </c>
      <c r="H107" s="1"/>
      <c r="I107" s="1" t="str">
        <f>HYPERLINK("https://www.systembolaget.se/produkt/vin/florante-7433601/","https://www.systembolaget.se/produkt/vin/florante-7433601/")</f>
        <v>https://www.systembolaget.se/produkt/vin/florante-7433601/</v>
      </c>
      <c r="J107" s="1">
        <v>20.2</v>
      </c>
      <c r="K107" s="1">
        <v>20.2</v>
      </c>
      <c r="L107" s="2">
        <v>45510</v>
      </c>
      <c r="M107" s="1" t="s">
        <v>571</v>
      </c>
      <c r="N107" s="1">
        <v>1.33</v>
      </c>
      <c r="O107" s="1">
        <v>750</v>
      </c>
      <c r="P107" s="1">
        <v>14</v>
      </c>
      <c r="Q107" s="1" t="s">
        <v>38</v>
      </c>
      <c r="R107" s="1" t="s">
        <v>52</v>
      </c>
      <c r="S107" s="1"/>
      <c r="T107" s="1"/>
      <c r="U107" s="1" t="s">
        <v>53</v>
      </c>
      <c r="V107" s="1"/>
      <c r="W107" s="1"/>
      <c r="X107" s="1" t="s">
        <v>574</v>
      </c>
      <c r="Y107" s="1" t="s">
        <v>180</v>
      </c>
      <c r="Z107" s="1" t="s">
        <v>43</v>
      </c>
      <c r="AA107" s="1"/>
      <c r="AB107" s="1" t="s">
        <v>44</v>
      </c>
      <c r="AC107" s="1" t="s">
        <v>45</v>
      </c>
      <c r="AD107" s="1" t="s">
        <v>43</v>
      </c>
      <c r="AE107" s="1" t="s">
        <v>43</v>
      </c>
      <c r="AF107" s="1"/>
      <c r="AG107" s="1" t="s">
        <v>43</v>
      </c>
      <c r="AH107" s="2">
        <v>45497</v>
      </c>
    </row>
    <row r="108" spans="1:34" x14ac:dyDescent="0.3">
      <c r="A108" s="1">
        <v>7467701</v>
      </c>
      <c r="B108" s="1">
        <v>20.2</v>
      </c>
      <c r="C108" s="1">
        <v>79</v>
      </c>
      <c r="D108" s="1">
        <v>99</v>
      </c>
      <c r="E108" s="1" t="s">
        <v>43</v>
      </c>
      <c r="F108" s="1">
        <v>0</v>
      </c>
      <c r="G108" s="1" t="s">
        <v>575</v>
      </c>
      <c r="H108" s="1" t="s">
        <v>576</v>
      </c>
      <c r="I108" s="1" t="str">
        <f>HYPERLINK("https://www.systembolaget.se/produkt/vin/castelcaia-7467701/","https://www.systembolaget.se/produkt/vin/castelcaia-7467701/")</f>
        <v>https://www.systembolaget.se/produkt/vin/castelcaia-7467701/</v>
      </c>
      <c r="J108" s="1">
        <v>20.2</v>
      </c>
      <c r="K108" s="1">
        <v>20.2</v>
      </c>
      <c r="L108" s="2">
        <v>45705</v>
      </c>
      <c r="M108" s="1" t="s">
        <v>571</v>
      </c>
      <c r="N108" s="1">
        <v>1.38</v>
      </c>
      <c r="O108" s="1">
        <v>750</v>
      </c>
      <c r="P108" s="1">
        <v>14.5</v>
      </c>
      <c r="Q108" s="1" t="s">
        <v>38</v>
      </c>
      <c r="R108" s="1" t="s">
        <v>52</v>
      </c>
      <c r="S108" s="1"/>
      <c r="T108" s="1"/>
      <c r="U108" s="1" t="s">
        <v>53</v>
      </c>
      <c r="V108" s="1" t="s">
        <v>577</v>
      </c>
      <c r="W108" s="1" t="s">
        <v>578</v>
      </c>
      <c r="X108" s="1" t="s">
        <v>180</v>
      </c>
      <c r="Y108" s="1" t="s">
        <v>180</v>
      </c>
      <c r="Z108" s="1" t="s">
        <v>43</v>
      </c>
      <c r="AA108" s="1">
        <v>2018</v>
      </c>
      <c r="AB108" s="1" t="s">
        <v>77</v>
      </c>
      <c r="AC108" s="1" t="s">
        <v>45</v>
      </c>
      <c r="AD108" s="1" t="s">
        <v>43</v>
      </c>
      <c r="AE108" s="1" t="s">
        <v>43</v>
      </c>
      <c r="AF108" s="1">
        <v>8</v>
      </c>
      <c r="AG108" s="1" t="s">
        <v>43</v>
      </c>
      <c r="AH108" s="2">
        <v>45712</v>
      </c>
    </row>
    <row r="109" spans="1:34" x14ac:dyDescent="0.3">
      <c r="A109" s="1">
        <v>9234701</v>
      </c>
      <c r="B109" s="1">
        <v>20.2</v>
      </c>
      <c r="C109" s="1">
        <v>79</v>
      </c>
      <c r="D109" s="1">
        <v>99</v>
      </c>
      <c r="E109" s="1" t="s">
        <v>43</v>
      </c>
      <c r="F109" s="1">
        <v>12</v>
      </c>
      <c r="G109" s="1" t="s">
        <v>579</v>
      </c>
      <c r="H109" s="1" t="s">
        <v>580</v>
      </c>
      <c r="I109" s="1" t="str">
        <f>HYPERLINK("https://www.systembolaget.se/produkt/vin/tahbilk-9234701/","https://www.systembolaget.se/produkt/vin/tahbilk-9234701/")</f>
        <v>https://www.systembolaget.se/produkt/vin/tahbilk-9234701/</v>
      </c>
      <c r="J109" s="1">
        <v>33.61</v>
      </c>
      <c r="K109" s="1">
        <v>20.2</v>
      </c>
      <c r="L109" s="2">
        <v>45534</v>
      </c>
      <c r="M109" s="1" t="s">
        <v>581</v>
      </c>
      <c r="N109" s="1">
        <v>1.38</v>
      </c>
      <c r="O109" s="1">
        <v>750</v>
      </c>
      <c r="P109" s="1">
        <v>14.5</v>
      </c>
      <c r="Q109" s="1" t="s">
        <v>38</v>
      </c>
      <c r="R109" s="1" t="s">
        <v>52</v>
      </c>
      <c r="S109" s="1" t="s">
        <v>84</v>
      </c>
      <c r="T109" s="1"/>
      <c r="U109" s="1" t="s">
        <v>149</v>
      </c>
      <c r="V109" s="1" t="s">
        <v>582</v>
      </c>
      <c r="W109" s="1"/>
      <c r="X109" s="1" t="s">
        <v>579</v>
      </c>
      <c r="Y109" s="1" t="s">
        <v>285</v>
      </c>
      <c r="Z109" s="1" t="s">
        <v>43</v>
      </c>
      <c r="AA109" s="1">
        <v>2022</v>
      </c>
      <c r="AB109" s="1" t="s">
        <v>77</v>
      </c>
      <c r="AC109" s="1" t="s">
        <v>45</v>
      </c>
      <c r="AD109" s="1" t="s">
        <v>43</v>
      </c>
      <c r="AE109" s="1" t="s">
        <v>43</v>
      </c>
      <c r="AF109" s="1">
        <v>2</v>
      </c>
      <c r="AG109" s="1" t="s">
        <v>43</v>
      </c>
      <c r="AH109" s="2">
        <v>45444</v>
      </c>
    </row>
    <row r="110" spans="1:34" x14ac:dyDescent="0.3">
      <c r="A110" s="1">
        <v>284701</v>
      </c>
      <c r="B110" s="1">
        <v>20.13</v>
      </c>
      <c r="C110" s="1">
        <v>119</v>
      </c>
      <c r="D110" s="1">
        <v>149</v>
      </c>
      <c r="E110" s="1" t="s">
        <v>43</v>
      </c>
      <c r="F110" s="1">
        <v>0</v>
      </c>
      <c r="G110" s="1" t="s">
        <v>583</v>
      </c>
      <c r="H110" s="1" t="s">
        <v>584</v>
      </c>
      <c r="I110" s="1" t="str">
        <f>HYPERLINK("https://www.systembolaget.se/produkt/vin/kleine-zalze-284701/","https://www.systembolaget.se/produkt/vin/kleine-zalze-284701/")</f>
        <v>https://www.systembolaget.se/produkt/vin/kleine-zalze-284701/</v>
      </c>
      <c r="J110" s="1">
        <v>20.13</v>
      </c>
      <c r="K110" s="1">
        <v>20.13</v>
      </c>
      <c r="L110" s="2">
        <v>45505</v>
      </c>
      <c r="M110" s="1" t="s">
        <v>585</v>
      </c>
      <c r="N110" s="1">
        <v>0.88</v>
      </c>
      <c r="O110" s="1">
        <v>750</v>
      </c>
      <c r="P110" s="1">
        <v>14</v>
      </c>
      <c r="Q110" s="1" t="s">
        <v>38</v>
      </c>
      <c r="R110" s="1" t="s">
        <v>52</v>
      </c>
      <c r="S110" s="1" t="s">
        <v>84</v>
      </c>
      <c r="T110" s="1"/>
      <c r="U110" s="1" t="s">
        <v>289</v>
      </c>
      <c r="V110" s="1" t="s">
        <v>290</v>
      </c>
      <c r="W110" s="1" t="s">
        <v>291</v>
      </c>
      <c r="X110" s="1" t="s">
        <v>583</v>
      </c>
      <c r="Y110" s="1" t="s">
        <v>76</v>
      </c>
      <c r="Z110" s="1" t="s">
        <v>43</v>
      </c>
      <c r="AA110" s="1">
        <v>2024</v>
      </c>
      <c r="AB110" s="1" t="s">
        <v>44</v>
      </c>
      <c r="AC110" s="1" t="s">
        <v>90</v>
      </c>
      <c r="AD110" s="1" t="s">
        <v>43</v>
      </c>
      <c r="AE110" s="1" t="s">
        <v>43</v>
      </c>
      <c r="AF110" s="1">
        <v>4</v>
      </c>
      <c r="AG110" s="1" t="s">
        <v>46</v>
      </c>
      <c r="AH110" s="2">
        <v>44621</v>
      </c>
    </row>
    <row r="111" spans="1:34" x14ac:dyDescent="0.3">
      <c r="A111" s="1">
        <v>796202</v>
      </c>
      <c r="B111" s="1">
        <v>20.13</v>
      </c>
      <c r="C111" s="1">
        <v>119</v>
      </c>
      <c r="D111" s="1">
        <v>149</v>
      </c>
      <c r="E111" s="1" t="s">
        <v>43</v>
      </c>
      <c r="F111" s="1">
        <v>0</v>
      </c>
      <c r="G111" s="1" t="s">
        <v>586</v>
      </c>
      <c r="H111" s="1"/>
      <c r="I111" s="1" t="str">
        <f>HYPERLINK("https://www.systembolaget.se/produkt/vin/chateau-la-rame-796202/","https://www.systembolaget.se/produkt/vin/chateau-la-rame-796202/")</f>
        <v>https://www.systembolaget.se/produkt/vin/chateau-la-rame-796202/</v>
      </c>
      <c r="J111" s="1">
        <v>20.13</v>
      </c>
      <c r="K111" s="1">
        <v>20.13</v>
      </c>
      <c r="L111" s="2">
        <v>45389</v>
      </c>
      <c r="M111" s="1" t="s">
        <v>587</v>
      </c>
      <c r="N111" s="1">
        <v>0.41</v>
      </c>
      <c r="O111" s="1">
        <v>375</v>
      </c>
      <c r="P111" s="1">
        <v>13</v>
      </c>
      <c r="Q111" s="1" t="s">
        <v>38</v>
      </c>
      <c r="R111" s="1" t="s">
        <v>39</v>
      </c>
      <c r="S111" s="1" t="s">
        <v>94</v>
      </c>
      <c r="T111" s="1"/>
      <c r="U111" s="1" t="s">
        <v>101</v>
      </c>
      <c r="V111" s="1" t="s">
        <v>371</v>
      </c>
      <c r="W111" s="1" t="s">
        <v>588</v>
      </c>
      <c r="X111" s="1" t="s">
        <v>589</v>
      </c>
      <c r="Y111" s="1" t="s">
        <v>590</v>
      </c>
      <c r="Z111" s="1" t="s">
        <v>43</v>
      </c>
      <c r="AA111" s="1">
        <v>2022</v>
      </c>
      <c r="AB111" s="1" t="s">
        <v>44</v>
      </c>
      <c r="AC111" s="1" t="s">
        <v>90</v>
      </c>
      <c r="AD111" s="1" t="s">
        <v>43</v>
      </c>
      <c r="AE111" s="1" t="s">
        <v>43</v>
      </c>
      <c r="AF111" s="1">
        <v>118</v>
      </c>
      <c r="AG111" s="1" t="s">
        <v>43</v>
      </c>
      <c r="AH111" s="2">
        <v>44986</v>
      </c>
    </row>
    <row r="112" spans="1:34" x14ac:dyDescent="0.3">
      <c r="A112" s="1">
        <v>3043302</v>
      </c>
      <c r="B112" s="1">
        <v>20.11</v>
      </c>
      <c r="C112" s="1">
        <v>282</v>
      </c>
      <c r="D112" s="1">
        <v>353</v>
      </c>
      <c r="E112" s="1" t="s">
        <v>43</v>
      </c>
      <c r="F112" s="1">
        <v>0</v>
      </c>
      <c r="G112" s="1" t="s">
        <v>591</v>
      </c>
      <c r="H112" s="1" t="s">
        <v>592</v>
      </c>
      <c r="I112" s="1" t="str">
        <f>HYPERLINK("https://www.systembolaget.se/produkt/sprit/stockholms-3043302/","https://www.systembolaget.se/produkt/sprit/stockholms-3043302/")</f>
        <v>https://www.systembolaget.se/produkt/sprit/stockholms-3043302/</v>
      </c>
      <c r="J112" s="1"/>
      <c r="K112" s="1">
        <v>20.11</v>
      </c>
      <c r="L112" s="2">
        <v>46125</v>
      </c>
      <c r="M112" s="1" t="s">
        <v>593</v>
      </c>
      <c r="N112" s="1">
        <v>0.67</v>
      </c>
      <c r="O112" s="1">
        <v>500</v>
      </c>
      <c r="P112" s="1">
        <v>38</v>
      </c>
      <c r="Q112" s="1" t="s">
        <v>308</v>
      </c>
      <c r="R112" s="1" t="s">
        <v>592</v>
      </c>
      <c r="S112" s="1"/>
      <c r="T112" s="1"/>
      <c r="U112" s="1" t="s">
        <v>110</v>
      </c>
      <c r="V112" s="1" t="s">
        <v>380</v>
      </c>
      <c r="W112" s="1" t="s">
        <v>381</v>
      </c>
      <c r="X112" s="1" t="s">
        <v>382</v>
      </c>
      <c r="Y112" s="1" t="s">
        <v>382</v>
      </c>
      <c r="Z112" s="1" t="s">
        <v>43</v>
      </c>
      <c r="AA112" s="1"/>
      <c r="AB112" s="1" t="s">
        <v>44</v>
      </c>
      <c r="AC112" s="1" t="s">
        <v>115</v>
      </c>
      <c r="AD112" s="1" t="s">
        <v>43</v>
      </c>
      <c r="AE112" s="1" t="s">
        <v>43</v>
      </c>
      <c r="AF112" s="1">
        <v>11</v>
      </c>
      <c r="AG112" s="1" t="s">
        <v>43</v>
      </c>
      <c r="AH112" s="2">
        <v>46146</v>
      </c>
    </row>
    <row r="113" spans="1:34" x14ac:dyDescent="0.3">
      <c r="A113" s="1">
        <v>5519201</v>
      </c>
      <c r="B113" s="1">
        <v>20.100000000000001</v>
      </c>
      <c r="C113" s="1">
        <v>159</v>
      </c>
      <c r="D113" s="1">
        <v>199</v>
      </c>
      <c r="E113" s="1" t="s">
        <v>43</v>
      </c>
      <c r="F113" s="1">
        <v>0</v>
      </c>
      <c r="G113" s="1" t="s">
        <v>265</v>
      </c>
      <c r="H113" s="1" t="s">
        <v>594</v>
      </c>
      <c r="I113" s="1" t="str">
        <f>HYPERLINK("https://www.systembolaget.se/produkt/vin/valpolicella-5519201/","https://www.systembolaget.se/produkt/vin/valpolicella-5519201/")</f>
        <v>https://www.systembolaget.se/produkt/vin/valpolicella-5519201/</v>
      </c>
      <c r="J113" s="1">
        <v>20.100000000000001</v>
      </c>
      <c r="K113" s="1">
        <v>20.100000000000001</v>
      </c>
      <c r="L113" s="2">
        <v>45389</v>
      </c>
      <c r="M113" s="1" t="s">
        <v>595</v>
      </c>
      <c r="N113" s="1">
        <v>0.59</v>
      </c>
      <c r="O113" s="1">
        <v>750</v>
      </c>
      <c r="P113" s="1">
        <v>12.5</v>
      </c>
      <c r="Q113" s="1" t="s">
        <v>38</v>
      </c>
      <c r="R113" s="1" t="s">
        <v>52</v>
      </c>
      <c r="S113" s="1"/>
      <c r="T113" s="1"/>
      <c r="U113" s="1" t="s">
        <v>53</v>
      </c>
      <c r="V113" s="1" t="s">
        <v>202</v>
      </c>
      <c r="W113" s="1" t="s">
        <v>265</v>
      </c>
      <c r="X113" s="1" t="s">
        <v>266</v>
      </c>
      <c r="Y113" s="1" t="s">
        <v>219</v>
      </c>
      <c r="Z113" s="1" t="s">
        <v>46</v>
      </c>
      <c r="AA113" s="1">
        <v>2020</v>
      </c>
      <c r="AB113" s="1" t="s">
        <v>77</v>
      </c>
      <c r="AC113" s="1" t="s">
        <v>45</v>
      </c>
      <c r="AD113" s="1" t="s">
        <v>43</v>
      </c>
      <c r="AE113" s="1" t="s">
        <v>43</v>
      </c>
      <c r="AF113" s="1"/>
      <c r="AG113" s="1" t="s">
        <v>43</v>
      </c>
      <c r="AH113" s="2">
        <v>44564</v>
      </c>
    </row>
    <row r="114" spans="1:34" x14ac:dyDescent="0.3">
      <c r="A114" s="1">
        <v>7138301</v>
      </c>
      <c r="B114" s="1">
        <v>20.079999999999998</v>
      </c>
      <c r="C114" s="1">
        <v>199</v>
      </c>
      <c r="D114" s="1">
        <v>249</v>
      </c>
      <c r="E114" s="1" t="s">
        <v>43</v>
      </c>
      <c r="F114" s="1">
        <v>6</v>
      </c>
      <c r="G114" s="1" t="s">
        <v>596</v>
      </c>
      <c r="H114" s="1" t="s">
        <v>597</v>
      </c>
      <c r="I114" s="1" t="str">
        <f>HYPERLINK("https://www.systembolaget.se/produkt/vin/pf-7138301/","https://www.systembolaget.se/produkt/vin/pf-7138301/")</f>
        <v>https://www.systembolaget.se/produkt/vin/pf-7138301/</v>
      </c>
      <c r="J114" s="1">
        <v>20.079999999999998</v>
      </c>
      <c r="K114" s="1">
        <v>20.079999999999998</v>
      </c>
      <c r="L114" s="2">
        <v>45389</v>
      </c>
      <c r="M114" s="1" t="s">
        <v>598</v>
      </c>
      <c r="N114" s="1">
        <v>0.55000000000000004</v>
      </c>
      <c r="O114" s="1">
        <v>750</v>
      </c>
      <c r="P114" s="1">
        <v>14.5</v>
      </c>
      <c r="Q114" s="1" t="s">
        <v>38</v>
      </c>
      <c r="R114" s="1" t="s">
        <v>52</v>
      </c>
      <c r="S114" s="1"/>
      <c r="T114" s="1"/>
      <c r="U114" s="1" t="s">
        <v>289</v>
      </c>
      <c r="V114" s="1" t="s">
        <v>290</v>
      </c>
      <c r="W114" s="1" t="s">
        <v>291</v>
      </c>
      <c r="X114" s="1" t="s">
        <v>599</v>
      </c>
      <c r="Y114" s="1" t="s">
        <v>600</v>
      </c>
      <c r="Z114" s="1" t="s">
        <v>43</v>
      </c>
      <c r="AA114" s="1">
        <v>2020</v>
      </c>
      <c r="AB114" s="1" t="s">
        <v>44</v>
      </c>
      <c r="AC114" s="1" t="s">
        <v>45</v>
      </c>
      <c r="AD114" s="1" t="s">
        <v>43</v>
      </c>
      <c r="AE114" s="1" t="s">
        <v>43</v>
      </c>
      <c r="AF114" s="1"/>
      <c r="AG114" s="1" t="s">
        <v>43</v>
      </c>
      <c r="AH114" s="2">
        <v>45350</v>
      </c>
    </row>
    <row r="115" spans="1:34" x14ac:dyDescent="0.3">
      <c r="A115" s="1">
        <v>7139401</v>
      </c>
      <c r="B115" s="1">
        <v>20.079999999999998</v>
      </c>
      <c r="C115" s="1">
        <v>199</v>
      </c>
      <c r="D115" s="1">
        <v>249</v>
      </c>
      <c r="E115" s="1" t="s">
        <v>43</v>
      </c>
      <c r="F115" s="1">
        <v>6</v>
      </c>
      <c r="G115" s="1" t="s">
        <v>596</v>
      </c>
      <c r="H115" s="1" t="s">
        <v>348</v>
      </c>
      <c r="I115" s="1" t="str">
        <f>HYPERLINK("https://www.systembolaget.se/produkt/vin/pf-7139401/","https://www.systembolaget.se/produkt/vin/pf-7139401/")</f>
        <v>https://www.systembolaget.se/produkt/vin/pf-7139401/</v>
      </c>
      <c r="J115" s="1">
        <v>20.079999999999998</v>
      </c>
      <c r="K115" s="1">
        <v>20.079999999999998</v>
      </c>
      <c r="L115" s="2">
        <v>45389</v>
      </c>
      <c r="M115" s="1" t="s">
        <v>598</v>
      </c>
      <c r="N115" s="1">
        <v>0.53</v>
      </c>
      <c r="O115" s="1">
        <v>750</v>
      </c>
      <c r="P115" s="1">
        <v>14</v>
      </c>
      <c r="Q115" s="1" t="s">
        <v>38</v>
      </c>
      <c r="R115" s="1" t="s">
        <v>52</v>
      </c>
      <c r="S115" s="1"/>
      <c r="T115" s="1"/>
      <c r="U115" s="1" t="s">
        <v>289</v>
      </c>
      <c r="V115" s="1" t="s">
        <v>290</v>
      </c>
      <c r="W115" s="1" t="s">
        <v>291</v>
      </c>
      <c r="X115" s="1" t="s">
        <v>599</v>
      </c>
      <c r="Y115" s="1" t="s">
        <v>600</v>
      </c>
      <c r="Z115" s="1" t="s">
        <v>43</v>
      </c>
      <c r="AA115" s="1">
        <v>2019</v>
      </c>
      <c r="AB115" s="1" t="s">
        <v>44</v>
      </c>
      <c r="AC115" s="1" t="s">
        <v>45</v>
      </c>
      <c r="AD115" s="1" t="s">
        <v>43</v>
      </c>
      <c r="AE115" s="1" t="s">
        <v>43</v>
      </c>
      <c r="AF115" s="1"/>
      <c r="AG115" s="1" t="s">
        <v>43</v>
      </c>
      <c r="AH115" s="2">
        <v>45350</v>
      </c>
    </row>
    <row r="116" spans="1:34" x14ac:dyDescent="0.3">
      <c r="A116" s="1">
        <v>754401</v>
      </c>
      <c r="B116" s="1">
        <v>20.079999999999998</v>
      </c>
      <c r="C116" s="1">
        <v>199</v>
      </c>
      <c r="D116" s="1">
        <v>249</v>
      </c>
      <c r="E116" s="1" t="s">
        <v>43</v>
      </c>
      <c r="F116" s="1">
        <v>0</v>
      </c>
      <c r="G116" s="1" t="s">
        <v>601</v>
      </c>
      <c r="H116" s="1" t="s">
        <v>602</v>
      </c>
      <c r="I116" s="1" t="str">
        <f>HYPERLINK("https://www.systembolaget.se/produkt/vin/pirie-754401/","https://www.systembolaget.se/produkt/vin/pirie-754401/")</f>
        <v>https://www.systembolaget.se/produkt/vin/pirie-754401/</v>
      </c>
      <c r="J116" s="1">
        <v>20.079999999999998</v>
      </c>
      <c r="K116" s="1">
        <v>20.079999999999998</v>
      </c>
      <c r="L116" s="2">
        <v>45971</v>
      </c>
      <c r="M116" s="1" t="s">
        <v>598</v>
      </c>
      <c r="N116" s="1">
        <v>0.47</v>
      </c>
      <c r="O116" s="1">
        <v>750</v>
      </c>
      <c r="P116" s="1">
        <v>12.5</v>
      </c>
      <c r="Q116" s="1" t="s">
        <v>38</v>
      </c>
      <c r="R116" s="1" t="s">
        <v>61</v>
      </c>
      <c r="S116" s="1" t="s">
        <v>68</v>
      </c>
      <c r="T116" s="1"/>
      <c r="U116" s="1" t="s">
        <v>149</v>
      </c>
      <c r="V116" s="1" t="s">
        <v>603</v>
      </c>
      <c r="W116" s="1"/>
      <c r="X116" s="1" t="s">
        <v>604</v>
      </c>
      <c r="Y116" s="1" t="s">
        <v>121</v>
      </c>
      <c r="Z116" s="1" t="s">
        <v>43</v>
      </c>
      <c r="AA116" s="1"/>
      <c r="AB116" s="1" t="s">
        <v>44</v>
      </c>
      <c r="AC116" s="1" t="s">
        <v>45</v>
      </c>
      <c r="AD116" s="1" t="s">
        <v>43</v>
      </c>
      <c r="AE116" s="1" t="s">
        <v>43</v>
      </c>
      <c r="AF116" s="1">
        <v>8</v>
      </c>
      <c r="AG116" s="1" t="s">
        <v>43</v>
      </c>
      <c r="AH116" s="2">
        <v>45992</v>
      </c>
    </row>
    <row r="117" spans="1:34" x14ac:dyDescent="0.3">
      <c r="A117" s="1">
        <v>5541601</v>
      </c>
      <c r="B117" s="1">
        <v>20.04</v>
      </c>
      <c r="C117" s="1">
        <v>399</v>
      </c>
      <c r="D117" s="1">
        <v>499</v>
      </c>
      <c r="E117" s="1" t="s">
        <v>43</v>
      </c>
      <c r="F117" s="1">
        <v>0</v>
      </c>
      <c r="G117" s="1" t="s">
        <v>300</v>
      </c>
      <c r="H117" s="1" t="s">
        <v>605</v>
      </c>
      <c r="I117" s="1" t="str">
        <f>HYPERLINK("https://www.systembolaget.se/produkt/vin/laetitia-estate-5541601/","https://www.systembolaget.se/produkt/vin/laetitia-estate-5541601/")</f>
        <v>https://www.systembolaget.se/produkt/vin/laetitia-estate-5541601/</v>
      </c>
      <c r="J117" s="1">
        <v>24.57</v>
      </c>
      <c r="K117" s="1">
        <v>20.04</v>
      </c>
      <c r="L117" s="2">
        <v>45389</v>
      </c>
      <c r="M117" s="1" t="s">
        <v>606</v>
      </c>
      <c r="N117" s="1">
        <v>0.27</v>
      </c>
      <c r="O117" s="1">
        <v>750</v>
      </c>
      <c r="P117" s="1">
        <v>14.5</v>
      </c>
      <c r="Q117" s="1" t="s">
        <v>38</v>
      </c>
      <c r="R117" s="1" t="s">
        <v>52</v>
      </c>
      <c r="S117" s="1"/>
      <c r="T117" s="1"/>
      <c r="U117" s="1" t="s">
        <v>73</v>
      </c>
      <c r="V117" s="1" t="s">
        <v>74</v>
      </c>
      <c r="W117" s="1" t="s">
        <v>302</v>
      </c>
      <c r="X117" s="1" t="s">
        <v>303</v>
      </c>
      <c r="Y117" s="1" t="s">
        <v>304</v>
      </c>
      <c r="Z117" s="1" t="s">
        <v>43</v>
      </c>
      <c r="AA117" s="1">
        <v>2019</v>
      </c>
      <c r="AB117" s="1" t="s">
        <v>44</v>
      </c>
      <c r="AC117" s="1" t="s">
        <v>45</v>
      </c>
      <c r="AD117" s="1" t="s">
        <v>43</v>
      </c>
      <c r="AE117" s="1" t="s">
        <v>43</v>
      </c>
      <c r="AF117" s="1"/>
      <c r="AG117" s="1" t="s">
        <v>43</v>
      </c>
      <c r="AH117" s="2">
        <v>44578</v>
      </c>
    </row>
    <row r="118" spans="1:34" x14ac:dyDescent="0.3">
      <c r="A118" s="1">
        <v>8585504</v>
      </c>
      <c r="B118" s="1">
        <v>20.03</v>
      </c>
      <c r="C118" s="1">
        <v>599</v>
      </c>
      <c r="D118" s="1">
        <v>749</v>
      </c>
      <c r="E118" s="1" t="s">
        <v>43</v>
      </c>
      <c r="F118" s="1">
        <v>0</v>
      </c>
      <c r="G118" s="1" t="s">
        <v>607</v>
      </c>
      <c r="H118" s="1" t="s">
        <v>608</v>
      </c>
      <c r="I118" s="1" t="str">
        <f>HYPERLINK("https://www.systembolaget.se/produkt/sprit/marolo-8585504/","https://www.systembolaget.se/produkt/sprit/marolo-8585504/")</f>
        <v>https://www.systembolaget.se/produkt/sprit/marolo-8585504/</v>
      </c>
      <c r="J118" s="1">
        <v>20.03</v>
      </c>
      <c r="K118" s="1">
        <v>20.03</v>
      </c>
      <c r="L118" s="2">
        <v>45473</v>
      </c>
      <c r="M118" s="1" t="s">
        <v>609</v>
      </c>
      <c r="N118" s="1">
        <v>0.18</v>
      </c>
      <c r="O118" s="1">
        <v>250</v>
      </c>
      <c r="P118" s="1">
        <v>42</v>
      </c>
      <c r="Q118" s="1" t="s">
        <v>308</v>
      </c>
      <c r="R118" s="1" t="s">
        <v>610</v>
      </c>
      <c r="S118" s="1" t="s">
        <v>611</v>
      </c>
      <c r="T118" s="1"/>
      <c r="U118" s="1" t="s">
        <v>53</v>
      </c>
      <c r="V118" s="1"/>
      <c r="W118" s="1"/>
      <c r="X118" s="1" t="s">
        <v>612</v>
      </c>
      <c r="Y118" s="1" t="s">
        <v>613</v>
      </c>
      <c r="Z118" s="1" t="s">
        <v>43</v>
      </c>
      <c r="AA118" s="1"/>
      <c r="AB118" s="1" t="s">
        <v>614</v>
      </c>
      <c r="AC118" s="1" t="s">
        <v>45</v>
      </c>
      <c r="AD118" s="1" t="s">
        <v>43</v>
      </c>
      <c r="AE118" s="1" t="s">
        <v>43</v>
      </c>
      <c r="AF118" s="1"/>
      <c r="AG118" s="1" t="s">
        <v>43</v>
      </c>
      <c r="AH118" s="2">
        <v>45448</v>
      </c>
    </row>
    <row r="119" spans="1:34" x14ac:dyDescent="0.3">
      <c r="A119" s="1">
        <v>8472801</v>
      </c>
      <c r="B119" s="1">
        <v>20</v>
      </c>
      <c r="C119" s="1">
        <v>400000</v>
      </c>
      <c r="D119" s="1">
        <v>500000</v>
      </c>
      <c r="E119" s="1" t="s">
        <v>43</v>
      </c>
      <c r="F119" s="1">
        <v>0</v>
      </c>
      <c r="G119" s="1" t="s">
        <v>615</v>
      </c>
      <c r="H119" s="1" t="s">
        <v>616</v>
      </c>
      <c r="I119" s="1" t="str">
        <f>HYPERLINK("https://www.systembolaget.se/produkt/sprit/highland-park-8472801/","https://www.systembolaget.se/produkt/sprit/highland-park-8472801/")</f>
        <v>https://www.systembolaget.se/produkt/sprit/highland-park-8472801/</v>
      </c>
      <c r="J119" s="1">
        <v>20</v>
      </c>
      <c r="K119" s="1">
        <v>20</v>
      </c>
      <c r="L119" s="2">
        <v>45691</v>
      </c>
      <c r="M119" s="1" t="s">
        <v>617</v>
      </c>
      <c r="N119" s="1">
        <v>0</v>
      </c>
      <c r="O119" s="1">
        <v>700</v>
      </c>
      <c r="P119" s="1">
        <v>47.1</v>
      </c>
      <c r="Q119" s="1" t="s">
        <v>308</v>
      </c>
      <c r="R119" s="1" t="s">
        <v>309</v>
      </c>
      <c r="S119" s="1" t="s">
        <v>318</v>
      </c>
      <c r="T119" s="1"/>
      <c r="U119" s="1" t="s">
        <v>253</v>
      </c>
      <c r="V119" s="1"/>
      <c r="W119" s="1"/>
      <c r="X119" s="1" t="s">
        <v>618</v>
      </c>
      <c r="Y119" s="1" t="s">
        <v>619</v>
      </c>
      <c r="Z119" s="1" t="s">
        <v>43</v>
      </c>
      <c r="AA119" s="1"/>
      <c r="AB119" s="1" t="s">
        <v>44</v>
      </c>
      <c r="AC119" s="1" t="s">
        <v>45</v>
      </c>
      <c r="AD119" s="1" t="s">
        <v>43</v>
      </c>
      <c r="AE119" s="1" t="s">
        <v>43</v>
      </c>
      <c r="AF119" s="1"/>
      <c r="AG119" s="1" t="s">
        <v>43</v>
      </c>
      <c r="AH119" s="2">
        <v>45698</v>
      </c>
    </row>
    <row r="120" spans="1:34" x14ac:dyDescent="0.3">
      <c r="A120" s="1">
        <v>7755301</v>
      </c>
      <c r="B120" s="1">
        <v>19.93</v>
      </c>
      <c r="C120" s="1">
        <v>229</v>
      </c>
      <c r="D120" s="1">
        <v>286</v>
      </c>
      <c r="E120" s="1" t="s">
        <v>43</v>
      </c>
      <c r="F120" s="1">
        <v>6</v>
      </c>
      <c r="G120" s="1" t="s">
        <v>620</v>
      </c>
      <c r="H120" s="1" t="s">
        <v>621</v>
      </c>
      <c r="I120" s="1" t="str">
        <f>HYPERLINK("https://www.systembolaget.se/produkt/vin/villa-di-geggiano-7755301/","https://www.systembolaget.se/produkt/vin/villa-di-geggiano-7755301/")</f>
        <v>https://www.systembolaget.se/produkt/vin/villa-di-geggiano-7755301/</v>
      </c>
      <c r="J120" s="1">
        <v>0</v>
      </c>
      <c r="K120" s="1">
        <v>19.93</v>
      </c>
      <c r="L120" s="2">
        <v>45389</v>
      </c>
      <c r="M120" s="1" t="s">
        <v>622</v>
      </c>
      <c r="N120" s="1">
        <v>0.46</v>
      </c>
      <c r="O120" s="1">
        <v>750</v>
      </c>
      <c r="P120" s="1">
        <v>14</v>
      </c>
      <c r="Q120" s="1" t="s">
        <v>38</v>
      </c>
      <c r="R120" s="1" t="s">
        <v>52</v>
      </c>
      <c r="S120" s="1"/>
      <c r="T120" s="1"/>
      <c r="U120" s="1" t="s">
        <v>53</v>
      </c>
      <c r="V120" s="1" t="s">
        <v>63</v>
      </c>
      <c r="W120" s="1"/>
      <c r="X120" s="1" t="s">
        <v>623</v>
      </c>
      <c r="Y120" s="1" t="s">
        <v>624</v>
      </c>
      <c r="Z120" s="1" t="s">
        <v>43</v>
      </c>
      <c r="AA120" s="1">
        <v>2023</v>
      </c>
      <c r="AB120" s="1" t="s">
        <v>77</v>
      </c>
      <c r="AC120" s="1" t="s">
        <v>45</v>
      </c>
      <c r="AD120" s="1" t="s">
        <v>43</v>
      </c>
      <c r="AE120" s="1" t="s">
        <v>43</v>
      </c>
      <c r="AF120" s="1"/>
      <c r="AG120" s="1" t="s">
        <v>43</v>
      </c>
      <c r="AH120" s="2">
        <v>43398</v>
      </c>
    </row>
    <row r="121" spans="1:34" x14ac:dyDescent="0.3">
      <c r="A121" s="1">
        <v>3003315</v>
      </c>
      <c r="B121" s="1">
        <v>19.72</v>
      </c>
      <c r="C121" s="1">
        <v>23.2</v>
      </c>
      <c r="D121" s="1">
        <v>28.9</v>
      </c>
      <c r="E121" s="1" t="s">
        <v>43</v>
      </c>
      <c r="F121" s="1">
        <v>0</v>
      </c>
      <c r="G121" s="1" t="s">
        <v>625</v>
      </c>
      <c r="H121" s="1" t="s">
        <v>626</v>
      </c>
      <c r="I121" s="1" t="str">
        <f>HYPERLINK("https://www.systembolaget.se/produkt/ol/bearded-rabbit-brewery-3003315/","https://www.systembolaget.se/produkt/ol/bearded-rabbit-brewery-3003315/")</f>
        <v>https://www.systembolaget.se/produkt/ol/bearded-rabbit-brewery-3003315/</v>
      </c>
      <c r="J121" s="1">
        <v>19.72</v>
      </c>
      <c r="K121" s="1">
        <v>19.72</v>
      </c>
      <c r="L121" s="2">
        <v>45796</v>
      </c>
      <c r="M121" s="1" t="s">
        <v>627</v>
      </c>
      <c r="N121" s="1">
        <v>0.71</v>
      </c>
      <c r="O121" s="1">
        <v>330</v>
      </c>
      <c r="P121" s="1">
        <v>5</v>
      </c>
      <c r="Q121" s="1" t="s">
        <v>107</v>
      </c>
      <c r="R121" s="1" t="s">
        <v>247</v>
      </c>
      <c r="S121" s="1" t="s">
        <v>248</v>
      </c>
      <c r="T121" s="1"/>
      <c r="U121" s="1" t="s">
        <v>110</v>
      </c>
      <c r="V121" s="1" t="s">
        <v>136</v>
      </c>
      <c r="W121" s="1" t="s">
        <v>137</v>
      </c>
      <c r="X121" s="1" t="s">
        <v>625</v>
      </c>
      <c r="Y121" s="1" t="s">
        <v>628</v>
      </c>
      <c r="Z121" s="1" t="s">
        <v>43</v>
      </c>
      <c r="AA121" s="1"/>
      <c r="AB121" s="1" t="s">
        <v>114</v>
      </c>
      <c r="AC121" s="1" t="s">
        <v>115</v>
      </c>
      <c r="AD121" s="1" t="s">
        <v>43</v>
      </c>
      <c r="AE121" s="1" t="s">
        <v>43</v>
      </c>
      <c r="AF121" s="1"/>
      <c r="AG121" s="1" t="s">
        <v>43</v>
      </c>
      <c r="AH121" s="2">
        <v>45817</v>
      </c>
    </row>
    <row r="122" spans="1:34" x14ac:dyDescent="0.3">
      <c r="A122" s="1">
        <v>8775001</v>
      </c>
      <c r="B122" s="1">
        <v>19.61</v>
      </c>
      <c r="C122" s="1">
        <v>369</v>
      </c>
      <c r="D122" s="1">
        <v>459</v>
      </c>
      <c r="E122" s="1" t="s">
        <v>43</v>
      </c>
      <c r="F122" s="1">
        <v>0</v>
      </c>
      <c r="G122" s="1" t="s">
        <v>629</v>
      </c>
      <c r="H122" s="1" t="s">
        <v>630</v>
      </c>
      <c r="I122" s="1" t="str">
        <f>HYPERLINK("https://www.systembolaget.se/produkt/sprit/ben-lomond-8775001/","https://www.systembolaget.se/produkt/sprit/ben-lomond-8775001/")</f>
        <v>https://www.systembolaget.se/produkt/sprit/ben-lomond-8775001/</v>
      </c>
      <c r="J122" s="1">
        <v>19.61</v>
      </c>
      <c r="K122" s="1">
        <v>19.61</v>
      </c>
      <c r="L122" s="2">
        <v>45389</v>
      </c>
      <c r="M122" s="1" t="s">
        <v>631</v>
      </c>
      <c r="N122" s="1">
        <v>0.82</v>
      </c>
      <c r="O122" s="1">
        <v>700</v>
      </c>
      <c r="P122" s="1">
        <v>43</v>
      </c>
      <c r="Q122" s="1" t="s">
        <v>308</v>
      </c>
      <c r="R122" s="1" t="s">
        <v>487</v>
      </c>
      <c r="S122" s="1" t="s">
        <v>488</v>
      </c>
      <c r="T122" s="1"/>
      <c r="U122" s="1" t="s">
        <v>253</v>
      </c>
      <c r="V122" s="1" t="s">
        <v>254</v>
      </c>
      <c r="W122" s="1"/>
      <c r="X122" s="1" t="s">
        <v>632</v>
      </c>
      <c r="Y122" s="1" t="s">
        <v>261</v>
      </c>
      <c r="Z122" s="1" t="s">
        <v>43</v>
      </c>
      <c r="AA122" s="1"/>
      <c r="AB122" s="1" t="s">
        <v>44</v>
      </c>
      <c r="AC122" s="1" t="s">
        <v>45</v>
      </c>
      <c r="AD122" s="1" t="s">
        <v>43</v>
      </c>
      <c r="AE122" s="1" t="s">
        <v>43</v>
      </c>
      <c r="AF122" s="1"/>
      <c r="AG122" s="1" t="s">
        <v>43</v>
      </c>
      <c r="AH122" s="2">
        <v>44018</v>
      </c>
    </row>
    <row r="123" spans="1:34" x14ac:dyDescent="0.3">
      <c r="A123" s="1">
        <v>3186902</v>
      </c>
      <c r="B123" s="1">
        <v>19.41</v>
      </c>
      <c r="C123" s="1">
        <v>299</v>
      </c>
      <c r="D123" s="1">
        <v>371</v>
      </c>
      <c r="E123" s="1" t="s">
        <v>43</v>
      </c>
      <c r="F123" s="1">
        <v>0</v>
      </c>
      <c r="G123" s="1" t="s">
        <v>633</v>
      </c>
      <c r="H123" s="1" t="s">
        <v>634</v>
      </c>
      <c r="I123" s="1" t="str">
        <f>HYPERLINK("https://www.systembolaget.se/produkt/sprit/sodra-maltfabriken-3186902/","https://www.systembolaget.se/produkt/sprit/sodra-maltfabriken-3186902/")</f>
        <v>https://www.systembolaget.se/produkt/sprit/sodra-maltfabriken-3186902/</v>
      </c>
      <c r="J123" s="1">
        <v>16.71</v>
      </c>
      <c r="K123" s="1">
        <v>19.41</v>
      </c>
      <c r="L123" s="2">
        <v>45488</v>
      </c>
      <c r="M123" s="1" t="s">
        <v>635</v>
      </c>
      <c r="N123" s="1">
        <v>0.74</v>
      </c>
      <c r="O123" s="1">
        <v>500</v>
      </c>
      <c r="P123" s="1">
        <v>44</v>
      </c>
      <c r="Q123" s="1" t="s">
        <v>308</v>
      </c>
      <c r="R123" s="1" t="s">
        <v>487</v>
      </c>
      <c r="S123" s="1" t="s">
        <v>488</v>
      </c>
      <c r="T123" s="1"/>
      <c r="U123" s="1" t="s">
        <v>110</v>
      </c>
      <c r="V123" s="1" t="s">
        <v>380</v>
      </c>
      <c r="W123" s="1" t="s">
        <v>636</v>
      </c>
      <c r="X123" s="1" t="s">
        <v>637</v>
      </c>
      <c r="Y123" s="1" t="s">
        <v>637</v>
      </c>
      <c r="Z123" s="1" t="s">
        <v>43</v>
      </c>
      <c r="AA123" s="1"/>
      <c r="AB123" s="1" t="s">
        <v>44</v>
      </c>
      <c r="AC123" s="1" t="s">
        <v>115</v>
      </c>
      <c r="AD123" s="1" t="s">
        <v>46</v>
      </c>
      <c r="AE123" s="1" t="s">
        <v>43</v>
      </c>
      <c r="AF123" s="1">
        <v>8</v>
      </c>
      <c r="AG123" s="1" t="s">
        <v>43</v>
      </c>
      <c r="AH123" s="2">
        <v>45509</v>
      </c>
    </row>
    <row r="124" spans="1:34" x14ac:dyDescent="0.3">
      <c r="A124" s="1">
        <v>5057701</v>
      </c>
      <c r="B124" s="1">
        <v>19.149999999999999</v>
      </c>
      <c r="C124" s="1">
        <v>549</v>
      </c>
      <c r="D124" s="1">
        <v>679</v>
      </c>
      <c r="E124" s="1" t="s">
        <v>43</v>
      </c>
      <c r="F124" s="1">
        <v>0</v>
      </c>
      <c r="G124" s="1" t="s">
        <v>638</v>
      </c>
      <c r="H124" s="1" t="s">
        <v>639</v>
      </c>
      <c r="I124" s="1" t="str">
        <f>HYPERLINK("https://www.systembolaget.se/produkt/sprit/smokehead-5057701/","https://www.systembolaget.se/produkt/sprit/smokehead-5057701/")</f>
        <v>https://www.systembolaget.se/produkt/sprit/smokehead-5057701/</v>
      </c>
      <c r="J124" s="1">
        <v>21.46</v>
      </c>
      <c r="K124" s="1">
        <v>19.149999999999999</v>
      </c>
      <c r="L124" s="2">
        <v>45389</v>
      </c>
      <c r="M124" s="1" t="s">
        <v>640</v>
      </c>
      <c r="N124" s="1">
        <v>0.59</v>
      </c>
      <c r="O124" s="1">
        <v>700</v>
      </c>
      <c r="P124" s="1">
        <v>46</v>
      </c>
      <c r="Q124" s="1" t="s">
        <v>308</v>
      </c>
      <c r="R124" s="1" t="s">
        <v>309</v>
      </c>
      <c r="S124" s="1" t="s">
        <v>318</v>
      </c>
      <c r="T124" s="1"/>
      <c r="U124" s="1" t="s">
        <v>253</v>
      </c>
      <c r="V124" s="1" t="s">
        <v>254</v>
      </c>
      <c r="W124" s="1" t="s">
        <v>641</v>
      </c>
      <c r="X124" s="1" t="s">
        <v>642</v>
      </c>
      <c r="Y124" s="1" t="s">
        <v>256</v>
      </c>
      <c r="Z124" s="1" t="s">
        <v>43</v>
      </c>
      <c r="AA124" s="1"/>
      <c r="AB124" s="1" t="s">
        <v>44</v>
      </c>
      <c r="AC124" s="1" t="s">
        <v>45</v>
      </c>
      <c r="AD124" s="1" t="s">
        <v>43</v>
      </c>
      <c r="AE124" s="1" t="s">
        <v>43</v>
      </c>
      <c r="AF124" s="1"/>
      <c r="AG124" s="1" t="s">
        <v>43</v>
      </c>
      <c r="AH124" s="2">
        <v>44237</v>
      </c>
    </row>
    <row r="125" spans="1:34" x14ac:dyDescent="0.3">
      <c r="A125" s="1">
        <v>5601801</v>
      </c>
      <c r="B125" s="1">
        <v>19.149999999999999</v>
      </c>
      <c r="C125" s="1">
        <v>549</v>
      </c>
      <c r="D125" s="1">
        <v>679</v>
      </c>
      <c r="E125" s="1" t="s">
        <v>43</v>
      </c>
      <c r="F125" s="1">
        <v>0</v>
      </c>
      <c r="G125" s="1" t="s">
        <v>638</v>
      </c>
      <c r="H125" s="1" t="s">
        <v>643</v>
      </c>
      <c r="I125" s="1" t="str">
        <f>HYPERLINK("https://www.systembolaget.se/produkt/sprit/smokehead-5601801/","https://www.systembolaget.se/produkt/sprit/smokehead-5601801/")</f>
        <v>https://www.systembolaget.se/produkt/sprit/smokehead-5601801/</v>
      </c>
      <c r="J125" s="1">
        <v>21.46</v>
      </c>
      <c r="K125" s="1">
        <v>19.149999999999999</v>
      </c>
      <c r="L125" s="2">
        <v>45389</v>
      </c>
      <c r="M125" s="1" t="s">
        <v>644</v>
      </c>
      <c r="N125" s="1">
        <v>0.61</v>
      </c>
      <c r="O125" s="1">
        <v>700</v>
      </c>
      <c r="P125" s="1">
        <v>48</v>
      </c>
      <c r="Q125" s="1" t="s">
        <v>308</v>
      </c>
      <c r="R125" s="1" t="s">
        <v>309</v>
      </c>
      <c r="S125" s="1" t="s">
        <v>318</v>
      </c>
      <c r="T125" s="1"/>
      <c r="U125" s="1" t="s">
        <v>253</v>
      </c>
      <c r="V125" s="1" t="s">
        <v>254</v>
      </c>
      <c r="W125" s="1" t="s">
        <v>641</v>
      </c>
      <c r="X125" s="1" t="s">
        <v>319</v>
      </c>
      <c r="Y125" s="1" t="s">
        <v>256</v>
      </c>
      <c r="Z125" s="1" t="s">
        <v>43</v>
      </c>
      <c r="AA125" s="1"/>
      <c r="AB125" s="1" t="s">
        <v>44</v>
      </c>
      <c r="AC125" s="1" t="s">
        <v>45</v>
      </c>
      <c r="AD125" s="1" t="s">
        <v>43</v>
      </c>
      <c r="AE125" s="1" t="s">
        <v>43</v>
      </c>
      <c r="AF125" s="1"/>
      <c r="AG125" s="1" t="s">
        <v>43</v>
      </c>
      <c r="AH125" s="2">
        <v>44627</v>
      </c>
    </row>
    <row r="126" spans="1:34" x14ac:dyDescent="0.3">
      <c r="A126" s="1">
        <v>7903701</v>
      </c>
      <c r="B126" s="1">
        <v>18.97</v>
      </c>
      <c r="C126" s="1">
        <v>299</v>
      </c>
      <c r="D126" s="1">
        <v>369</v>
      </c>
      <c r="E126" s="1" t="s">
        <v>43</v>
      </c>
      <c r="F126" s="1">
        <v>0</v>
      </c>
      <c r="G126" s="1" t="s">
        <v>645</v>
      </c>
      <c r="H126" s="1" t="s">
        <v>646</v>
      </c>
      <c r="I126" s="1" t="str">
        <f>HYPERLINK("https://www.systembolaget.se/produkt/vin/greystone-vineyard-7903701/","https://www.systembolaget.se/produkt/vin/greystone-vineyard-7903701/")</f>
        <v>https://www.systembolaget.se/produkt/vin/greystone-vineyard-7903701/</v>
      </c>
      <c r="J126" s="1">
        <v>40.08</v>
      </c>
      <c r="K126" s="1">
        <v>18.97</v>
      </c>
      <c r="L126" s="2">
        <v>45965</v>
      </c>
      <c r="M126" s="1" t="s">
        <v>647</v>
      </c>
      <c r="N126" s="1">
        <v>0.33</v>
      </c>
      <c r="O126" s="1">
        <v>750</v>
      </c>
      <c r="P126" s="1">
        <v>13</v>
      </c>
      <c r="Q126" s="1" t="s">
        <v>38</v>
      </c>
      <c r="R126" s="1" t="s">
        <v>52</v>
      </c>
      <c r="S126" s="1"/>
      <c r="T126" s="1"/>
      <c r="U126" s="1" t="s">
        <v>387</v>
      </c>
      <c r="V126" s="1" t="s">
        <v>388</v>
      </c>
      <c r="W126" s="1" t="s">
        <v>389</v>
      </c>
      <c r="X126" s="1" t="s">
        <v>383</v>
      </c>
      <c r="Y126" s="1" t="s">
        <v>145</v>
      </c>
      <c r="Z126" s="1" t="s">
        <v>43</v>
      </c>
      <c r="AA126" s="1">
        <v>2020</v>
      </c>
      <c r="AB126" s="1" t="s">
        <v>44</v>
      </c>
      <c r="AC126" s="1" t="s">
        <v>45</v>
      </c>
      <c r="AD126" s="1" t="s">
        <v>43</v>
      </c>
      <c r="AE126" s="1" t="s">
        <v>43</v>
      </c>
      <c r="AF126" s="1"/>
      <c r="AG126" s="1" t="s">
        <v>43</v>
      </c>
      <c r="AH126" s="2">
        <v>45972</v>
      </c>
    </row>
    <row r="127" spans="1:34" x14ac:dyDescent="0.3">
      <c r="A127" s="1">
        <v>664807</v>
      </c>
      <c r="B127" s="1">
        <v>18.87</v>
      </c>
      <c r="C127" s="1">
        <v>129</v>
      </c>
      <c r="D127" s="1">
        <v>159</v>
      </c>
      <c r="E127" s="1" t="s">
        <v>551</v>
      </c>
      <c r="F127" s="1">
        <v>0</v>
      </c>
      <c r="G127" s="1" t="s">
        <v>648</v>
      </c>
      <c r="H127" s="1" t="s">
        <v>649</v>
      </c>
      <c r="I127" s="1" t="str">
        <f>HYPERLINK("https://www.systembolaget.se/produkt/vin/paolini-664807/","https://www.systembolaget.se/produkt/vin/paolini-664807/")</f>
        <v>https://www.systembolaget.se/produkt/vin/paolini-664807/</v>
      </c>
      <c r="J127" s="1">
        <v>18.87</v>
      </c>
      <c r="K127" s="1">
        <v>18.87</v>
      </c>
      <c r="L127" s="2">
        <v>45673</v>
      </c>
      <c r="M127" s="1" t="s">
        <v>650</v>
      </c>
      <c r="N127" s="1">
        <v>1.51</v>
      </c>
      <c r="O127" s="1">
        <v>1500</v>
      </c>
      <c r="P127" s="1">
        <v>13</v>
      </c>
      <c r="Q127" s="1" t="s">
        <v>38</v>
      </c>
      <c r="R127" s="1" t="s">
        <v>39</v>
      </c>
      <c r="S127" s="1" t="s">
        <v>184</v>
      </c>
      <c r="T127" s="1"/>
      <c r="U127" s="1" t="s">
        <v>53</v>
      </c>
      <c r="V127" s="1" t="s">
        <v>651</v>
      </c>
      <c r="W127" s="1" t="s">
        <v>652</v>
      </c>
      <c r="X127" s="1" t="s">
        <v>653</v>
      </c>
      <c r="Y127" s="1" t="s">
        <v>76</v>
      </c>
      <c r="Z127" s="1" t="s">
        <v>46</v>
      </c>
      <c r="AA127" s="1">
        <v>2024</v>
      </c>
      <c r="AB127" s="1" t="s">
        <v>654</v>
      </c>
      <c r="AC127" s="1" t="s">
        <v>90</v>
      </c>
      <c r="AD127" s="1" t="s">
        <v>43</v>
      </c>
      <c r="AE127" s="1" t="s">
        <v>43</v>
      </c>
      <c r="AF127" s="1">
        <v>6</v>
      </c>
      <c r="AG127" s="1" t="s">
        <v>43</v>
      </c>
      <c r="AH127" s="2">
        <v>43252</v>
      </c>
    </row>
    <row r="128" spans="1:34" x14ac:dyDescent="0.3">
      <c r="A128" s="1">
        <v>284801</v>
      </c>
      <c r="B128" s="1">
        <v>18.87</v>
      </c>
      <c r="C128" s="1">
        <v>129</v>
      </c>
      <c r="D128" s="1">
        <v>159</v>
      </c>
      <c r="E128" s="1" t="s">
        <v>43</v>
      </c>
      <c r="F128" s="1">
        <v>0</v>
      </c>
      <c r="G128" s="1" t="s">
        <v>655</v>
      </c>
      <c r="H128" s="1" t="s">
        <v>656</v>
      </c>
      <c r="I128" s="1" t="str">
        <f>HYPERLINK("https://www.systembolaget.se/produkt/vin/herdade-dos-lagos-284801/","https://www.systembolaget.se/produkt/vin/herdade-dos-lagos-284801/")</f>
        <v>https://www.systembolaget.se/produkt/vin/herdade-dos-lagos-284801/</v>
      </c>
      <c r="J128" s="1">
        <v>18.87</v>
      </c>
      <c r="K128" s="1">
        <v>18.87</v>
      </c>
      <c r="L128" s="2">
        <v>45520</v>
      </c>
      <c r="M128" s="1" t="s">
        <v>657</v>
      </c>
      <c r="N128" s="1">
        <v>0.81</v>
      </c>
      <c r="O128" s="1">
        <v>750</v>
      </c>
      <c r="P128" s="1">
        <v>14</v>
      </c>
      <c r="Q128" s="1" t="s">
        <v>38</v>
      </c>
      <c r="R128" s="1" t="s">
        <v>52</v>
      </c>
      <c r="S128" s="1" t="s">
        <v>386</v>
      </c>
      <c r="T128" s="1"/>
      <c r="U128" s="1" t="s">
        <v>272</v>
      </c>
      <c r="V128" s="1" t="s">
        <v>658</v>
      </c>
      <c r="W128" s="1" t="s">
        <v>659</v>
      </c>
      <c r="X128" s="1" t="s">
        <v>655</v>
      </c>
      <c r="Y128" s="1" t="s">
        <v>660</v>
      </c>
      <c r="Z128" s="1" t="s">
        <v>46</v>
      </c>
      <c r="AA128" s="1">
        <v>2022</v>
      </c>
      <c r="AB128" s="1" t="s">
        <v>77</v>
      </c>
      <c r="AC128" s="1" t="s">
        <v>45</v>
      </c>
      <c r="AD128" s="1" t="s">
        <v>43</v>
      </c>
      <c r="AE128" s="1" t="s">
        <v>43</v>
      </c>
      <c r="AF128" s="1"/>
      <c r="AG128" s="1" t="s">
        <v>43</v>
      </c>
      <c r="AH128" s="2">
        <v>45352</v>
      </c>
    </row>
    <row r="129" spans="1:34" x14ac:dyDescent="0.3">
      <c r="A129" s="1">
        <v>170435</v>
      </c>
      <c r="B129" s="1">
        <v>18.87</v>
      </c>
      <c r="C129" s="1">
        <v>12.9</v>
      </c>
      <c r="D129" s="1">
        <v>15.9</v>
      </c>
      <c r="E129" s="1" t="s">
        <v>43</v>
      </c>
      <c r="F129" s="1">
        <v>0</v>
      </c>
      <c r="G129" s="1" t="s">
        <v>661</v>
      </c>
      <c r="H129" s="1"/>
      <c r="I129" s="1" t="str">
        <f>HYPERLINK("https://www.systembolaget.se/produkt/cider-blanddrycker/zip-orange-longdrink-170435/","https://www.systembolaget.se/produkt/cider-blanddrycker/zip-orange-longdrink-170435/")</f>
        <v>https://www.systembolaget.se/produkt/cider-blanddrycker/zip-orange-longdrink-170435/</v>
      </c>
      <c r="J129" s="1">
        <v>18.87</v>
      </c>
      <c r="K129" s="1">
        <v>18.87</v>
      </c>
      <c r="L129" s="2">
        <v>45880</v>
      </c>
      <c r="M129" s="1" t="s">
        <v>662</v>
      </c>
      <c r="N129" s="1">
        <v>1.1499999999999999</v>
      </c>
      <c r="O129" s="1">
        <v>330</v>
      </c>
      <c r="P129" s="1">
        <v>4.5</v>
      </c>
      <c r="Q129" s="1" t="s">
        <v>157</v>
      </c>
      <c r="R129" s="1" t="s">
        <v>663</v>
      </c>
      <c r="S129" s="1" t="s">
        <v>159</v>
      </c>
      <c r="T129" s="1"/>
      <c r="U129" s="1" t="s">
        <v>110</v>
      </c>
      <c r="V129" s="1"/>
      <c r="W129" s="1"/>
      <c r="X129" s="1" t="s">
        <v>160</v>
      </c>
      <c r="Y129" s="1" t="s">
        <v>121</v>
      </c>
      <c r="Z129" s="1" t="s">
        <v>43</v>
      </c>
      <c r="AA129" s="1"/>
      <c r="AB129" s="1" t="s">
        <v>114</v>
      </c>
      <c r="AC129" s="1" t="s">
        <v>90</v>
      </c>
      <c r="AD129" s="1" t="s">
        <v>43</v>
      </c>
      <c r="AE129" s="1" t="s">
        <v>43</v>
      </c>
      <c r="AF129" s="1">
        <v>2</v>
      </c>
      <c r="AG129" s="1" t="s">
        <v>43</v>
      </c>
      <c r="AH129" s="2">
        <v>45901</v>
      </c>
    </row>
    <row r="130" spans="1:34" x14ac:dyDescent="0.3">
      <c r="A130" s="1">
        <v>5239601</v>
      </c>
      <c r="B130" s="1">
        <v>18.82</v>
      </c>
      <c r="C130" s="1">
        <v>69</v>
      </c>
      <c r="D130" s="1">
        <v>85</v>
      </c>
      <c r="E130" s="1" t="s">
        <v>43</v>
      </c>
      <c r="F130" s="1">
        <v>0</v>
      </c>
      <c r="G130" s="1" t="s">
        <v>664</v>
      </c>
      <c r="H130" s="1" t="s">
        <v>235</v>
      </c>
      <c r="I130" s="1" t="str">
        <f>HYPERLINK("https://www.systembolaget.se/produkt/vin/le-ciel-5239601/","https://www.systembolaget.se/produkt/vin/le-ciel-5239601/")</f>
        <v>https://www.systembolaget.se/produkt/vin/le-ciel-5239601/</v>
      </c>
      <c r="J130" s="1">
        <v>18.82</v>
      </c>
      <c r="K130" s="1">
        <v>18.82</v>
      </c>
      <c r="L130" s="2">
        <v>45435</v>
      </c>
      <c r="M130" s="1" t="s">
        <v>665</v>
      </c>
      <c r="N130" s="1">
        <v>1.88</v>
      </c>
      <c r="O130" s="1">
        <v>1000</v>
      </c>
      <c r="P130" s="1">
        <v>13</v>
      </c>
      <c r="Q130" s="1" t="s">
        <v>38</v>
      </c>
      <c r="R130" s="1" t="s">
        <v>52</v>
      </c>
      <c r="S130" s="1" t="s">
        <v>84</v>
      </c>
      <c r="T130" s="1"/>
      <c r="U130" s="1" t="s">
        <v>101</v>
      </c>
      <c r="V130" s="1" t="s">
        <v>185</v>
      </c>
      <c r="W130" s="1" t="s">
        <v>278</v>
      </c>
      <c r="X130" s="1" t="s">
        <v>666</v>
      </c>
      <c r="Y130" s="1" t="s">
        <v>666</v>
      </c>
      <c r="Z130" s="1" t="s">
        <v>43</v>
      </c>
      <c r="AA130" s="1"/>
      <c r="AB130" s="1" t="s">
        <v>181</v>
      </c>
      <c r="AC130" s="1" t="s">
        <v>45</v>
      </c>
      <c r="AD130" s="1" t="s">
        <v>43</v>
      </c>
      <c r="AE130" s="1" t="s">
        <v>43</v>
      </c>
      <c r="AF130" s="1">
        <v>2</v>
      </c>
      <c r="AG130" s="1" t="s">
        <v>43</v>
      </c>
      <c r="AH130" s="2">
        <v>44377</v>
      </c>
    </row>
    <row r="131" spans="1:34" x14ac:dyDescent="0.3">
      <c r="A131" s="1">
        <v>7340009</v>
      </c>
      <c r="B131" s="1">
        <v>18.66</v>
      </c>
      <c r="C131" s="1">
        <v>2250</v>
      </c>
      <c r="D131" s="1">
        <v>2766</v>
      </c>
      <c r="E131" s="1" t="s">
        <v>43</v>
      </c>
      <c r="F131" s="1">
        <v>0</v>
      </c>
      <c r="G131" s="1" t="s">
        <v>667</v>
      </c>
      <c r="H131" s="1" t="s">
        <v>668</v>
      </c>
      <c r="I131" s="1" t="str">
        <f>HYPERLINK("https://www.systembolaget.se/produkt/vin/lourensford-kleipot-vinlada-7340009/","https://www.systembolaget.se/produkt/vin/lourensford-kleipot-vinlada-7340009/")</f>
        <v>https://www.systembolaget.se/produkt/vin/lourensford-kleipot-vinlada-7340009/</v>
      </c>
      <c r="J131" s="1">
        <v>18.48</v>
      </c>
      <c r="K131" s="1">
        <v>18.66</v>
      </c>
      <c r="L131" s="2">
        <v>45389</v>
      </c>
      <c r="M131" s="1" t="s">
        <v>669</v>
      </c>
      <c r="N131" s="1">
        <v>0.25</v>
      </c>
      <c r="O131" s="1">
        <v>4500</v>
      </c>
      <c r="P131" s="1">
        <v>12.5</v>
      </c>
      <c r="Q131" s="1" t="s">
        <v>38</v>
      </c>
      <c r="R131" s="1" t="s">
        <v>670</v>
      </c>
      <c r="S131" s="1"/>
      <c r="T131" s="1"/>
      <c r="U131" s="1" t="s">
        <v>289</v>
      </c>
      <c r="V131" s="1" t="s">
        <v>290</v>
      </c>
      <c r="W131" s="1" t="s">
        <v>291</v>
      </c>
      <c r="X131" s="1" t="s">
        <v>671</v>
      </c>
      <c r="Y131" s="1" t="s">
        <v>600</v>
      </c>
      <c r="Z131" s="1" t="s">
        <v>43</v>
      </c>
      <c r="AA131" s="1"/>
      <c r="AB131" s="1" t="s">
        <v>672</v>
      </c>
      <c r="AC131" s="1" t="s">
        <v>45</v>
      </c>
      <c r="AD131" s="1" t="s">
        <v>43</v>
      </c>
      <c r="AE131" s="1" t="s">
        <v>43</v>
      </c>
      <c r="AF131" s="1"/>
      <c r="AG131" s="1" t="s">
        <v>43</v>
      </c>
      <c r="AH131" s="2">
        <v>45223</v>
      </c>
    </row>
    <row r="132" spans="1:34" x14ac:dyDescent="0.3">
      <c r="A132" s="1">
        <v>7259101</v>
      </c>
      <c r="B132" s="1">
        <v>18.649999999999999</v>
      </c>
      <c r="C132" s="1">
        <v>349</v>
      </c>
      <c r="D132" s="1">
        <v>429</v>
      </c>
      <c r="E132" s="1" t="s">
        <v>43</v>
      </c>
      <c r="F132" s="1">
        <v>0</v>
      </c>
      <c r="G132" s="1" t="s">
        <v>673</v>
      </c>
      <c r="H132" s="1" t="s">
        <v>674</v>
      </c>
      <c r="I132" s="1" t="str">
        <f>HYPERLINK("https://www.systembolaget.se/produkt/vin/willamette-valley-pinot-noir-7259101/","https://www.systembolaget.se/produkt/vin/willamette-valley-pinot-noir-7259101/")</f>
        <v>https://www.systembolaget.se/produkt/vin/willamette-valley-pinot-noir-7259101/</v>
      </c>
      <c r="J132" s="1">
        <v>20.5</v>
      </c>
      <c r="K132" s="1">
        <v>18.649999999999999</v>
      </c>
      <c r="L132" s="2">
        <v>45866</v>
      </c>
      <c r="M132" s="1" t="s">
        <v>675</v>
      </c>
      <c r="N132" s="1">
        <v>0.28000000000000003</v>
      </c>
      <c r="O132" s="1">
        <v>750</v>
      </c>
      <c r="P132" s="1">
        <v>13</v>
      </c>
      <c r="Q132" s="1" t="s">
        <v>38</v>
      </c>
      <c r="R132" s="1" t="s">
        <v>52</v>
      </c>
      <c r="S132" s="1"/>
      <c r="T132" s="1"/>
      <c r="U132" s="1" t="s">
        <v>73</v>
      </c>
      <c r="V132" s="1" t="s">
        <v>676</v>
      </c>
      <c r="W132" s="1" t="s">
        <v>677</v>
      </c>
      <c r="X132" s="1" t="s">
        <v>674</v>
      </c>
      <c r="Y132" s="1" t="s">
        <v>678</v>
      </c>
      <c r="Z132" s="1" t="s">
        <v>43</v>
      </c>
      <c r="AA132" s="1">
        <v>2022</v>
      </c>
      <c r="AB132" s="1" t="s">
        <v>44</v>
      </c>
      <c r="AC132" s="1" t="s">
        <v>45</v>
      </c>
      <c r="AD132" s="1" t="s">
        <v>43</v>
      </c>
      <c r="AE132" s="1" t="s">
        <v>43</v>
      </c>
      <c r="AF132" s="1"/>
      <c r="AG132" s="1" t="s">
        <v>43</v>
      </c>
      <c r="AH132" s="2">
        <v>45873</v>
      </c>
    </row>
    <row r="133" spans="1:34" x14ac:dyDescent="0.3">
      <c r="A133" s="1">
        <v>7497301</v>
      </c>
      <c r="B133" s="1">
        <v>18.350000000000001</v>
      </c>
      <c r="C133" s="1">
        <v>89</v>
      </c>
      <c r="D133" s="1">
        <v>109</v>
      </c>
      <c r="E133" s="1" t="s">
        <v>43</v>
      </c>
      <c r="F133" s="1">
        <v>0</v>
      </c>
      <c r="G133" s="1" t="s">
        <v>416</v>
      </c>
      <c r="H133" s="1" t="s">
        <v>597</v>
      </c>
      <c r="I133" s="1" t="str">
        <f>HYPERLINK("https://www.systembolaget.se/produkt/vin/maple-ash-7497301/","https://www.systembolaget.se/produkt/vin/maple-ash-7497301/")</f>
        <v>https://www.systembolaget.se/produkt/vin/maple-ash-7497301/</v>
      </c>
      <c r="J133" s="1">
        <v>18.350000000000001</v>
      </c>
      <c r="K133" s="1">
        <v>18.350000000000001</v>
      </c>
      <c r="L133" s="2">
        <v>45519</v>
      </c>
      <c r="M133" s="1" t="s">
        <v>679</v>
      </c>
      <c r="N133" s="1">
        <v>1.1000000000000001</v>
      </c>
      <c r="O133" s="1">
        <v>750</v>
      </c>
      <c r="P133" s="1">
        <v>13</v>
      </c>
      <c r="Q133" s="1" t="s">
        <v>38</v>
      </c>
      <c r="R133" s="1" t="s">
        <v>52</v>
      </c>
      <c r="S133" s="1" t="s">
        <v>84</v>
      </c>
      <c r="T133" s="1"/>
      <c r="U133" s="1" t="s">
        <v>73</v>
      </c>
      <c r="V133" s="1" t="s">
        <v>74</v>
      </c>
      <c r="W133" s="1"/>
      <c r="X133" s="1" t="s">
        <v>180</v>
      </c>
      <c r="Y133" s="1" t="s">
        <v>180</v>
      </c>
      <c r="Z133" s="1" t="s">
        <v>43</v>
      </c>
      <c r="AA133" s="1">
        <v>2022</v>
      </c>
      <c r="AB133" s="1" t="s">
        <v>44</v>
      </c>
      <c r="AC133" s="1" t="s">
        <v>45</v>
      </c>
      <c r="AD133" s="1" t="s">
        <v>43</v>
      </c>
      <c r="AE133" s="1" t="s">
        <v>43</v>
      </c>
      <c r="AF133" s="1">
        <v>5</v>
      </c>
      <c r="AG133" s="1" t="s">
        <v>43</v>
      </c>
      <c r="AH133" s="2">
        <v>45434</v>
      </c>
    </row>
    <row r="134" spans="1:34" x14ac:dyDescent="0.3">
      <c r="A134" s="1">
        <v>244101</v>
      </c>
      <c r="B134" s="1">
        <v>18.329999999999998</v>
      </c>
      <c r="C134" s="1">
        <v>49</v>
      </c>
      <c r="D134" s="1">
        <v>60</v>
      </c>
      <c r="E134" s="1" t="s">
        <v>43</v>
      </c>
      <c r="F134" s="1">
        <v>0</v>
      </c>
      <c r="G134" s="1" t="s">
        <v>680</v>
      </c>
      <c r="H134" s="1" t="s">
        <v>681</v>
      </c>
      <c r="I134" s="1" t="str">
        <f>HYPERLINK("https://www.systembolaget.se/produkt/vin/maison-francoise-cotes-de-marmandais-244101/","https://www.systembolaget.se/produkt/vin/maison-francoise-cotes-de-marmandais-244101/")</f>
        <v>https://www.systembolaget.se/produkt/vin/maison-francoise-cotes-de-marmandais-244101/</v>
      </c>
      <c r="J134" s="1">
        <v>28.99</v>
      </c>
      <c r="K134" s="1">
        <v>18.329999999999998</v>
      </c>
      <c r="L134" s="2">
        <v>45389</v>
      </c>
      <c r="M134" s="1" t="s">
        <v>682</v>
      </c>
      <c r="N134" s="1">
        <v>2.14</v>
      </c>
      <c r="O134" s="1">
        <v>750</v>
      </c>
      <c r="P134" s="1">
        <v>14</v>
      </c>
      <c r="Q134" s="1" t="s">
        <v>38</v>
      </c>
      <c r="R134" s="1" t="s">
        <v>52</v>
      </c>
      <c r="S134" s="1" t="s">
        <v>84</v>
      </c>
      <c r="T134" s="1"/>
      <c r="U134" s="1" t="s">
        <v>101</v>
      </c>
      <c r="V134" s="1" t="s">
        <v>568</v>
      </c>
      <c r="W134" s="1" t="s">
        <v>683</v>
      </c>
      <c r="X134" s="1" t="s">
        <v>684</v>
      </c>
      <c r="Y134" s="1" t="s">
        <v>175</v>
      </c>
      <c r="Z134" s="1" t="s">
        <v>43</v>
      </c>
      <c r="AA134" s="1">
        <v>2020</v>
      </c>
      <c r="AB134" s="1" t="s">
        <v>181</v>
      </c>
      <c r="AC134" s="1" t="s">
        <v>45</v>
      </c>
      <c r="AD134" s="1" t="s">
        <v>43</v>
      </c>
      <c r="AE134" s="1" t="s">
        <v>43</v>
      </c>
      <c r="AF134" s="1">
        <v>2</v>
      </c>
      <c r="AG134" s="1" t="s">
        <v>43</v>
      </c>
      <c r="AH134" s="2">
        <v>44896</v>
      </c>
    </row>
    <row r="135" spans="1:34" x14ac:dyDescent="0.3">
      <c r="A135" s="1">
        <v>285201</v>
      </c>
      <c r="B135" s="1">
        <v>17.93</v>
      </c>
      <c r="C135" s="1">
        <v>119</v>
      </c>
      <c r="D135" s="1">
        <v>145</v>
      </c>
      <c r="E135" s="1" t="s">
        <v>43</v>
      </c>
      <c r="F135" s="1">
        <v>0</v>
      </c>
      <c r="G135" s="1" t="s">
        <v>685</v>
      </c>
      <c r="H135" s="1" t="s">
        <v>82</v>
      </c>
      <c r="I135" s="1" t="str">
        <f>HYPERLINK("https://www.systembolaget.se/produkt/vin/chateau-pineraie-285201/","https://www.systembolaget.se/produkt/vin/chateau-pineraie-285201/")</f>
        <v>https://www.systembolaget.se/produkt/vin/chateau-pineraie-285201/</v>
      </c>
      <c r="J135" s="1">
        <v>17.93</v>
      </c>
      <c r="K135" s="1">
        <v>17.93</v>
      </c>
      <c r="L135" s="2">
        <v>45447</v>
      </c>
      <c r="M135" s="1" t="s">
        <v>686</v>
      </c>
      <c r="N135" s="1">
        <v>0.85</v>
      </c>
      <c r="O135" s="1">
        <v>750</v>
      </c>
      <c r="P135" s="1">
        <v>13.5</v>
      </c>
      <c r="Q135" s="1" t="s">
        <v>38</v>
      </c>
      <c r="R135" s="1" t="s">
        <v>52</v>
      </c>
      <c r="S135" s="1" t="s">
        <v>687</v>
      </c>
      <c r="T135" s="1"/>
      <c r="U135" s="1" t="s">
        <v>101</v>
      </c>
      <c r="V135" s="1" t="s">
        <v>568</v>
      </c>
      <c r="W135" s="1" t="s">
        <v>688</v>
      </c>
      <c r="X135" s="1" t="s">
        <v>685</v>
      </c>
      <c r="Y135" s="1" t="s">
        <v>689</v>
      </c>
      <c r="Z135" s="1" t="s">
        <v>46</v>
      </c>
      <c r="AA135" s="1">
        <v>2023</v>
      </c>
      <c r="AB135" s="1" t="s">
        <v>44</v>
      </c>
      <c r="AC135" s="1" t="s">
        <v>90</v>
      </c>
      <c r="AD135" s="1" t="s">
        <v>43</v>
      </c>
      <c r="AE135" s="1" t="s">
        <v>43</v>
      </c>
      <c r="AF135" s="1">
        <v>2</v>
      </c>
      <c r="AG135" s="1" t="s">
        <v>43</v>
      </c>
      <c r="AH135" s="2">
        <v>42705</v>
      </c>
    </row>
    <row r="136" spans="1:34" x14ac:dyDescent="0.3">
      <c r="A136" s="1">
        <v>3006135</v>
      </c>
      <c r="B136" s="1">
        <v>17.920000000000002</v>
      </c>
      <c r="C136" s="1">
        <v>22.9</v>
      </c>
      <c r="D136" s="1">
        <v>27.9</v>
      </c>
      <c r="E136" s="1" t="s">
        <v>43</v>
      </c>
      <c r="F136" s="1">
        <v>0</v>
      </c>
      <c r="G136" s="1" t="s">
        <v>690</v>
      </c>
      <c r="H136" s="1" t="s">
        <v>691</v>
      </c>
      <c r="I136" s="1" t="str">
        <f>HYPERLINK("https://www.systembolaget.se/produkt/ol/oresunds-angbryggeri-3006135/","https://www.systembolaget.se/produkt/ol/oresunds-angbryggeri-3006135/")</f>
        <v>https://www.systembolaget.se/produkt/ol/oresunds-angbryggeri-3006135/</v>
      </c>
      <c r="J136" s="1"/>
      <c r="K136" s="1">
        <v>17.920000000000002</v>
      </c>
      <c r="L136" s="2">
        <v>46125</v>
      </c>
      <c r="M136" s="1" t="s">
        <v>692</v>
      </c>
      <c r="N136" s="1">
        <v>0.81</v>
      </c>
      <c r="O136" s="1">
        <v>330</v>
      </c>
      <c r="P136" s="1">
        <v>5.6</v>
      </c>
      <c r="Q136" s="1" t="s">
        <v>107</v>
      </c>
      <c r="R136" s="1" t="s">
        <v>108</v>
      </c>
      <c r="S136" s="1" t="s">
        <v>693</v>
      </c>
      <c r="T136" s="1"/>
      <c r="U136" s="1" t="s">
        <v>110</v>
      </c>
      <c r="V136" s="1" t="s">
        <v>694</v>
      </c>
      <c r="W136" s="1" t="s">
        <v>695</v>
      </c>
      <c r="X136" s="1" t="s">
        <v>696</v>
      </c>
      <c r="Y136" s="1" t="s">
        <v>697</v>
      </c>
      <c r="Z136" s="1" t="s">
        <v>43</v>
      </c>
      <c r="AA136" s="1"/>
      <c r="AB136" s="1" t="s">
        <v>114</v>
      </c>
      <c r="AC136" s="1" t="s">
        <v>115</v>
      </c>
      <c r="AD136" s="1" t="s">
        <v>43</v>
      </c>
      <c r="AE136" s="1" t="s">
        <v>43</v>
      </c>
      <c r="AF136" s="1"/>
      <c r="AG136" s="1" t="s">
        <v>43</v>
      </c>
      <c r="AH136" s="2">
        <v>46146</v>
      </c>
    </row>
    <row r="137" spans="1:34" x14ac:dyDescent="0.3">
      <c r="A137" s="1">
        <v>3437603</v>
      </c>
      <c r="B137" s="1">
        <v>17.89</v>
      </c>
      <c r="C137" s="1">
        <v>31.2</v>
      </c>
      <c r="D137" s="1">
        <v>38</v>
      </c>
      <c r="E137" s="1" t="s">
        <v>43</v>
      </c>
      <c r="F137" s="1">
        <v>0</v>
      </c>
      <c r="G137" s="1" t="s">
        <v>698</v>
      </c>
      <c r="H137" s="1" t="s">
        <v>699</v>
      </c>
      <c r="I137" s="1" t="str">
        <f>HYPERLINK("https://www.systembolaget.se/produkt/ol/backalund-gardsbryggeri-3437603/","https://www.systembolaget.se/produkt/ol/backalund-gardsbryggeri-3437603/")</f>
        <v>https://www.systembolaget.se/produkt/ol/backalund-gardsbryggeri-3437603/</v>
      </c>
      <c r="J137" s="1"/>
      <c r="K137" s="1">
        <v>17.89</v>
      </c>
      <c r="L137" s="2">
        <v>46216</v>
      </c>
      <c r="M137" s="1" t="s">
        <v>700</v>
      </c>
      <c r="N137" s="1">
        <v>0.48</v>
      </c>
      <c r="O137" s="1">
        <v>330</v>
      </c>
      <c r="P137" s="1">
        <v>4.5</v>
      </c>
      <c r="Q137" s="1" t="s">
        <v>107</v>
      </c>
      <c r="R137" s="1" t="s">
        <v>108</v>
      </c>
      <c r="S137" s="1" t="s">
        <v>701</v>
      </c>
      <c r="T137" s="1"/>
      <c r="U137" s="1" t="s">
        <v>110</v>
      </c>
      <c r="V137" s="1" t="s">
        <v>702</v>
      </c>
      <c r="W137" s="1" t="s">
        <v>703</v>
      </c>
      <c r="X137" s="1" t="s">
        <v>698</v>
      </c>
      <c r="Y137" s="1" t="s">
        <v>704</v>
      </c>
      <c r="Z137" s="1" t="s">
        <v>43</v>
      </c>
      <c r="AA137" s="1"/>
      <c r="AB137" s="1" t="s">
        <v>44</v>
      </c>
      <c r="AC137" s="1" t="s">
        <v>115</v>
      </c>
      <c r="AD137" s="1" t="s">
        <v>43</v>
      </c>
      <c r="AE137" s="1" t="s">
        <v>43</v>
      </c>
      <c r="AF137" s="1"/>
      <c r="AG137" s="1" t="s">
        <v>43</v>
      </c>
      <c r="AH137" s="2">
        <v>46237</v>
      </c>
    </row>
    <row r="138" spans="1:34" x14ac:dyDescent="0.3">
      <c r="A138" s="1">
        <v>7351201</v>
      </c>
      <c r="B138" s="1">
        <v>17.71</v>
      </c>
      <c r="C138" s="1">
        <v>79</v>
      </c>
      <c r="D138" s="1">
        <v>96</v>
      </c>
      <c r="E138" s="1" t="s">
        <v>43</v>
      </c>
      <c r="F138" s="1">
        <v>0</v>
      </c>
      <c r="G138" s="1" t="s">
        <v>705</v>
      </c>
      <c r="H138" s="1" t="s">
        <v>706</v>
      </c>
      <c r="I138" s="1" t="str">
        <f>HYPERLINK("https://www.systembolaget.se/produkt/vin/ponte-villoni-7351201/","https://www.systembolaget.se/produkt/vin/ponte-villoni-7351201/")</f>
        <v>https://www.systembolaget.se/produkt/vin/ponte-villoni-7351201/</v>
      </c>
      <c r="J138" s="1">
        <v>17.71</v>
      </c>
      <c r="K138" s="1">
        <v>17.71</v>
      </c>
      <c r="L138" s="2">
        <v>45783</v>
      </c>
      <c r="M138" s="1" t="s">
        <v>707</v>
      </c>
      <c r="N138" s="1">
        <v>1</v>
      </c>
      <c r="O138" s="1">
        <v>750</v>
      </c>
      <c r="P138" s="1">
        <v>10.5</v>
      </c>
      <c r="Q138" s="1" t="s">
        <v>38</v>
      </c>
      <c r="R138" s="1" t="s">
        <v>61</v>
      </c>
      <c r="S138" s="1" t="s">
        <v>68</v>
      </c>
      <c r="T138" s="1"/>
      <c r="U138" s="1" t="s">
        <v>53</v>
      </c>
      <c r="V138" s="1"/>
      <c r="W138" s="1"/>
      <c r="X138" s="1" t="s">
        <v>708</v>
      </c>
      <c r="Y138" s="1" t="s">
        <v>364</v>
      </c>
      <c r="Z138" s="1" t="s">
        <v>43</v>
      </c>
      <c r="AA138" s="1"/>
      <c r="AB138" s="1" t="s">
        <v>44</v>
      </c>
      <c r="AC138" s="1" t="s">
        <v>45</v>
      </c>
      <c r="AD138" s="1" t="s">
        <v>43</v>
      </c>
      <c r="AE138" s="1" t="s">
        <v>43</v>
      </c>
      <c r="AF138" s="1">
        <v>10</v>
      </c>
      <c r="AG138" s="1" t="s">
        <v>43</v>
      </c>
      <c r="AH138" s="2">
        <v>45775</v>
      </c>
    </row>
    <row r="139" spans="1:34" x14ac:dyDescent="0.3">
      <c r="A139" s="1">
        <v>3251312</v>
      </c>
      <c r="B139" s="1">
        <v>17.57</v>
      </c>
      <c r="C139" s="1">
        <v>99</v>
      </c>
      <c r="D139" s="1">
        <v>120.1</v>
      </c>
      <c r="E139" s="1" t="s">
        <v>43</v>
      </c>
      <c r="F139" s="1">
        <v>0</v>
      </c>
      <c r="G139" s="1" t="s">
        <v>709</v>
      </c>
      <c r="H139" s="1" t="s">
        <v>710</v>
      </c>
      <c r="I139" s="1" t="str">
        <f>HYPERLINK("https://www.systembolaget.se/produkt/ol/dugges-3251312/","https://www.systembolaget.se/produkt/ol/dugges-3251312/")</f>
        <v>https://www.systembolaget.se/produkt/ol/dugges-3251312/</v>
      </c>
      <c r="J139" s="1">
        <v>17.5</v>
      </c>
      <c r="K139" s="1">
        <v>17.57</v>
      </c>
      <c r="L139" s="2">
        <v>45726</v>
      </c>
      <c r="M139" s="1" t="s">
        <v>711</v>
      </c>
      <c r="N139" s="1">
        <v>0.61</v>
      </c>
      <c r="O139" s="1">
        <v>500</v>
      </c>
      <c r="P139" s="1">
        <v>12</v>
      </c>
      <c r="Q139" s="1" t="s">
        <v>107</v>
      </c>
      <c r="R139" s="1" t="s">
        <v>712</v>
      </c>
      <c r="S139" s="1" t="s">
        <v>713</v>
      </c>
      <c r="T139" s="1"/>
      <c r="U139" s="1" t="s">
        <v>110</v>
      </c>
      <c r="V139" s="1"/>
      <c r="W139" s="1"/>
      <c r="X139" s="1" t="s">
        <v>714</v>
      </c>
      <c r="Y139" s="1" t="s">
        <v>715</v>
      </c>
      <c r="Z139" s="1" t="s">
        <v>43</v>
      </c>
      <c r="AA139" s="1"/>
      <c r="AB139" s="1" t="s">
        <v>114</v>
      </c>
      <c r="AC139" s="1" t="s">
        <v>45</v>
      </c>
      <c r="AD139" s="1" t="s">
        <v>43</v>
      </c>
      <c r="AE139" s="1" t="s">
        <v>43</v>
      </c>
      <c r="AF139" s="1"/>
      <c r="AG139" s="1" t="s">
        <v>43</v>
      </c>
      <c r="AH139" s="2">
        <v>45747</v>
      </c>
    </row>
    <row r="140" spans="1:34" x14ac:dyDescent="0.3">
      <c r="A140" s="1">
        <v>1233001</v>
      </c>
      <c r="B140" s="1">
        <v>17.54</v>
      </c>
      <c r="C140" s="1">
        <v>329</v>
      </c>
      <c r="D140" s="1">
        <v>399</v>
      </c>
      <c r="E140" s="1" t="s">
        <v>43</v>
      </c>
      <c r="F140" s="1">
        <v>0</v>
      </c>
      <c r="G140" s="1" t="s">
        <v>716</v>
      </c>
      <c r="H140" s="1" t="s">
        <v>717</v>
      </c>
      <c r="I140" s="1" t="str">
        <f>HYPERLINK("https://www.systembolaget.se/produkt/vin/brunello-di-montalcino-1233001/","https://www.systembolaget.se/produkt/vin/brunello-di-montalcino-1233001/")</f>
        <v>https://www.systembolaget.se/produkt/vin/brunello-di-montalcino-1233001/</v>
      </c>
      <c r="J140" s="1">
        <v>17.54</v>
      </c>
      <c r="K140" s="1">
        <v>17.54</v>
      </c>
      <c r="L140" s="2">
        <v>45389</v>
      </c>
      <c r="M140" s="1" t="s">
        <v>718</v>
      </c>
      <c r="N140" s="1">
        <v>0.34</v>
      </c>
      <c r="O140" s="1">
        <v>750</v>
      </c>
      <c r="P140" s="1">
        <v>15</v>
      </c>
      <c r="Q140" s="1" t="s">
        <v>38</v>
      </c>
      <c r="R140" s="1" t="s">
        <v>52</v>
      </c>
      <c r="S140" s="1" t="s">
        <v>687</v>
      </c>
      <c r="T140" s="1"/>
      <c r="U140" s="1" t="s">
        <v>53</v>
      </c>
      <c r="V140" s="1" t="s">
        <v>63</v>
      </c>
      <c r="W140" s="1" t="s">
        <v>716</v>
      </c>
      <c r="X140" s="1" t="s">
        <v>719</v>
      </c>
      <c r="Y140" s="1" t="s">
        <v>304</v>
      </c>
      <c r="Z140" s="1" t="s">
        <v>43</v>
      </c>
      <c r="AA140" s="1">
        <v>2020</v>
      </c>
      <c r="AB140" s="1" t="s">
        <v>44</v>
      </c>
      <c r="AC140" s="1" t="s">
        <v>90</v>
      </c>
      <c r="AD140" s="1" t="s">
        <v>43</v>
      </c>
      <c r="AE140" s="1" t="s">
        <v>43</v>
      </c>
      <c r="AF140" s="1">
        <v>2</v>
      </c>
      <c r="AG140" s="1" t="s">
        <v>43</v>
      </c>
      <c r="AH140" s="2">
        <v>41883</v>
      </c>
    </row>
    <row r="141" spans="1:34" x14ac:dyDescent="0.3">
      <c r="A141" s="1">
        <v>55402</v>
      </c>
      <c r="B141" s="1">
        <v>17.54</v>
      </c>
      <c r="C141" s="1">
        <v>329</v>
      </c>
      <c r="D141" s="1">
        <v>399</v>
      </c>
      <c r="E141" s="1" t="s">
        <v>43</v>
      </c>
      <c r="F141" s="1">
        <v>0</v>
      </c>
      <c r="G141" s="1" t="s">
        <v>615</v>
      </c>
      <c r="H141" s="1" t="s">
        <v>720</v>
      </c>
      <c r="I141" s="1" t="str">
        <f>HYPERLINK("https://www.systembolaget.se/produkt/sprit/highland-park-55402/","https://www.systembolaget.se/produkt/sprit/highland-park-55402/")</f>
        <v>https://www.systembolaget.se/produkt/sprit/highland-park-55402/</v>
      </c>
      <c r="J141" s="1">
        <v>17.54</v>
      </c>
      <c r="K141" s="1">
        <v>17.54</v>
      </c>
      <c r="L141" s="2">
        <v>45389</v>
      </c>
      <c r="M141" s="1" t="s">
        <v>718</v>
      </c>
      <c r="N141" s="1">
        <v>0.69</v>
      </c>
      <c r="O141" s="1">
        <v>350</v>
      </c>
      <c r="P141" s="1">
        <v>64.7</v>
      </c>
      <c r="Q141" s="1" t="s">
        <v>308</v>
      </c>
      <c r="R141" s="1" t="s">
        <v>309</v>
      </c>
      <c r="S141" s="1" t="s">
        <v>318</v>
      </c>
      <c r="T141" s="1"/>
      <c r="U141" s="1" t="s">
        <v>253</v>
      </c>
      <c r="V141" s="1" t="s">
        <v>254</v>
      </c>
      <c r="W141" s="1" t="s">
        <v>721</v>
      </c>
      <c r="X141" s="1" t="s">
        <v>618</v>
      </c>
      <c r="Y141" s="1" t="s">
        <v>619</v>
      </c>
      <c r="Z141" s="1" t="s">
        <v>43</v>
      </c>
      <c r="AA141" s="1"/>
      <c r="AB141" s="1" t="s">
        <v>44</v>
      </c>
      <c r="AC141" s="1" t="s">
        <v>90</v>
      </c>
      <c r="AD141" s="1" t="s">
        <v>43</v>
      </c>
      <c r="AE141" s="1" t="s">
        <v>43</v>
      </c>
      <c r="AF141" s="1">
        <v>2</v>
      </c>
      <c r="AG141" s="1" t="s">
        <v>43</v>
      </c>
      <c r="AH141" s="2">
        <v>41334</v>
      </c>
    </row>
    <row r="142" spans="1:34" x14ac:dyDescent="0.3">
      <c r="A142" s="1">
        <v>7237006</v>
      </c>
      <c r="B142" s="1">
        <v>17.5</v>
      </c>
      <c r="C142" s="1">
        <v>16499</v>
      </c>
      <c r="D142" s="1">
        <v>19999</v>
      </c>
      <c r="E142" s="1" t="s">
        <v>43</v>
      </c>
      <c r="F142" s="1">
        <v>0</v>
      </c>
      <c r="G142" s="1" t="s">
        <v>722</v>
      </c>
      <c r="H142" s="1" t="s">
        <v>723</v>
      </c>
      <c r="I142" s="1" t="str">
        <f>HYPERLINK("https://www.systembolaget.se/produkt/vin/chambertin-grand-cru-7237006/","https://www.systembolaget.se/produkt/vin/chambertin-grand-cru-7237006/")</f>
        <v>https://www.systembolaget.se/produkt/vin/chambertin-grand-cru-7237006/</v>
      </c>
      <c r="J142" s="1">
        <v>17.5</v>
      </c>
      <c r="K142" s="1">
        <v>17.5</v>
      </c>
      <c r="L142" s="2">
        <v>45389</v>
      </c>
      <c r="M142" s="1" t="s">
        <v>724</v>
      </c>
      <c r="N142" s="1">
        <v>0.01</v>
      </c>
      <c r="O142" s="1">
        <v>1500</v>
      </c>
      <c r="P142" s="1">
        <v>13</v>
      </c>
      <c r="Q142" s="1" t="s">
        <v>38</v>
      </c>
      <c r="R142" s="1" t="s">
        <v>52</v>
      </c>
      <c r="S142" s="1"/>
      <c r="T142" s="1"/>
      <c r="U142" s="1" t="s">
        <v>101</v>
      </c>
      <c r="V142" s="1" t="s">
        <v>142</v>
      </c>
      <c r="W142" s="1" t="s">
        <v>725</v>
      </c>
      <c r="X142" s="1" t="s">
        <v>723</v>
      </c>
      <c r="Y142" s="1" t="s">
        <v>678</v>
      </c>
      <c r="Z142" s="1" t="s">
        <v>46</v>
      </c>
      <c r="AA142" s="1">
        <v>2020</v>
      </c>
      <c r="AB142" s="1" t="s">
        <v>77</v>
      </c>
      <c r="AC142" s="1" t="s">
        <v>45</v>
      </c>
      <c r="AD142" s="1" t="s">
        <v>43</v>
      </c>
      <c r="AE142" s="1" t="s">
        <v>43</v>
      </c>
      <c r="AF142" s="1"/>
      <c r="AG142" s="1" t="s">
        <v>43</v>
      </c>
      <c r="AH142" s="2">
        <v>45271</v>
      </c>
    </row>
    <row r="143" spans="1:34" x14ac:dyDescent="0.3">
      <c r="A143" s="1">
        <v>7593101</v>
      </c>
      <c r="B143" s="1">
        <v>17.5</v>
      </c>
      <c r="C143" s="1">
        <v>99</v>
      </c>
      <c r="D143" s="1">
        <v>120</v>
      </c>
      <c r="E143" s="1" t="s">
        <v>43</v>
      </c>
      <c r="F143" s="1">
        <v>0</v>
      </c>
      <c r="G143" s="1" t="s">
        <v>726</v>
      </c>
      <c r="H143" s="1" t="s">
        <v>727</v>
      </c>
      <c r="I143" s="1" t="str">
        <f>HYPERLINK("https://www.systembolaget.se/produkt/vin/omakase-riesling-7593101/","https://www.systembolaget.se/produkt/vin/omakase-riesling-7593101/")</f>
        <v>https://www.systembolaget.se/produkt/vin/omakase-riesling-7593101/</v>
      </c>
      <c r="J143" s="1"/>
      <c r="K143" s="1">
        <v>17.5</v>
      </c>
      <c r="L143" s="2">
        <v>46141</v>
      </c>
      <c r="M143" s="1" t="s">
        <v>728</v>
      </c>
      <c r="N143" s="1">
        <v>0.91</v>
      </c>
      <c r="O143" s="1">
        <v>750</v>
      </c>
      <c r="P143" s="1">
        <v>12</v>
      </c>
      <c r="Q143" s="1" t="s">
        <v>38</v>
      </c>
      <c r="R143" s="1" t="s">
        <v>39</v>
      </c>
      <c r="S143" s="1" t="s">
        <v>184</v>
      </c>
      <c r="T143" s="1"/>
      <c r="U143" s="1" t="s">
        <v>119</v>
      </c>
      <c r="V143" s="1" t="s">
        <v>729</v>
      </c>
      <c r="W143" s="1"/>
      <c r="X143" s="1" t="s">
        <v>126</v>
      </c>
      <c r="Y143" s="1" t="s">
        <v>126</v>
      </c>
      <c r="Z143" s="1" t="s">
        <v>43</v>
      </c>
      <c r="AA143" s="1">
        <v>2025</v>
      </c>
      <c r="AB143" s="1" t="s">
        <v>77</v>
      </c>
      <c r="AC143" s="1" t="s">
        <v>45</v>
      </c>
      <c r="AD143" s="1" t="s">
        <v>43</v>
      </c>
      <c r="AE143" s="1" t="s">
        <v>43</v>
      </c>
      <c r="AF143" s="1">
        <v>15</v>
      </c>
      <c r="AG143" s="1" t="s">
        <v>43</v>
      </c>
      <c r="AH143" s="2">
        <v>46148</v>
      </c>
    </row>
    <row r="144" spans="1:34" x14ac:dyDescent="0.3">
      <c r="A144" s="1">
        <v>3951202</v>
      </c>
      <c r="B144" s="1">
        <v>17.399999999999999</v>
      </c>
      <c r="C144" s="1">
        <v>299</v>
      </c>
      <c r="D144" s="1">
        <v>362</v>
      </c>
      <c r="E144" s="1" t="s">
        <v>43</v>
      </c>
      <c r="F144" s="1">
        <v>0</v>
      </c>
      <c r="G144" s="1" t="s">
        <v>633</v>
      </c>
      <c r="H144" s="1" t="s">
        <v>730</v>
      </c>
      <c r="I144" s="1" t="str">
        <f>HYPERLINK("https://www.systembolaget.se/produkt/sprit/sodra-maltfabriken-3951202/","https://www.systembolaget.se/produkt/sprit/sodra-maltfabriken-3951202/")</f>
        <v>https://www.systembolaget.se/produkt/sprit/sodra-maltfabriken-3951202/</v>
      </c>
      <c r="J144" s="1">
        <v>14.81</v>
      </c>
      <c r="K144" s="1">
        <v>17.399999999999999</v>
      </c>
      <c r="L144" s="2">
        <v>45455</v>
      </c>
      <c r="M144" s="1" t="s">
        <v>731</v>
      </c>
      <c r="N144" s="1">
        <v>0.7</v>
      </c>
      <c r="O144" s="1">
        <v>500</v>
      </c>
      <c r="P144" s="1">
        <v>42</v>
      </c>
      <c r="Q144" s="1" t="s">
        <v>308</v>
      </c>
      <c r="R144" s="1" t="s">
        <v>487</v>
      </c>
      <c r="S144" s="1" t="s">
        <v>488</v>
      </c>
      <c r="T144" s="1"/>
      <c r="U144" s="1" t="s">
        <v>110</v>
      </c>
      <c r="V144" s="1" t="s">
        <v>380</v>
      </c>
      <c r="W144" s="1" t="s">
        <v>636</v>
      </c>
      <c r="X144" s="1" t="s">
        <v>732</v>
      </c>
      <c r="Y144" s="1" t="s">
        <v>637</v>
      </c>
      <c r="Z144" s="1" t="s">
        <v>43</v>
      </c>
      <c r="AA144" s="1"/>
      <c r="AB144" s="1" t="s">
        <v>44</v>
      </c>
      <c r="AC144" s="1" t="s">
        <v>115</v>
      </c>
      <c r="AD144" s="1" t="s">
        <v>46</v>
      </c>
      <c r="AE144" s="1" t="s">
        <v>43</v>
      </c>
      <c r="AF144" s="1">
        <v>2</v>
      </c>
      <c r="AG144" s="1" t="s">
        <v>43</v>
      </c>
      <c r="AH144" s="2">
        <v>45082</v>
      </c>
    </row>
    <row r="145" spans="1:34" x14ac:dyDescent="0.3">
      <c r="A145" s="1">
        <v>8595501</v>
      </c>
      <c r="B145" s="1">
        <v>16.88</v>
      </c>
      <c r="C145" s="1">
        <v>399</v>
      </c>
      <c r="D145" s="1">
        <v>480</v>
      </c>
      <c r="E145" s="1" t="s">
        <v>43</v>
      </c>
      <c r="F145" s="1">
        <v>0</v>
      </c>
      <c r="G145" s="1" t="s">
        <v>733</v>
      </c>
      <c r="H145" s="1" t="s">
        <v>488</v>
      </c>
      <c r="I145" s="1" t="str">
        <f>HYPERLINK("https://www.systembolaget.se/produkt/sprit/generous-8595501/","https://www.systembolaget.se/produkt/sprit/generous-8595501/")</f>
        <v>https://www.systembolaget.se/produkt/sprit/generous-8595501/</v>
      </c>
      <c r="J145" s="1">
        <v>16.7</v>
      </c>
      <c r="K145" s="1">
        <v>16.88</v>
      </c>
      <c r="L145" s="2">
        <v>45389</v>
      </c>
      <c r="M145" s="1" t="s">
        <v>734</v>
      </c>
      <c r="N145" s="1">
        <v>0.77</v>
      </c>
      <c r="O145" s="1">
        <v>700</v>
      </c>
      <c r="P145" s="1">
        <v>44</v>
      </c>
      <c r="Q145" s="1" t="s">
        <v>308</v>
      </c>
      <c r="R145" s="1" t="s">
        <v>487</v>
      </c>
      <c r="S145" s="1" t="s">
        <v>488</v>
      </c>
      <c r="T145" s="1"/>
      <c r="U145" s="1" t="s">
        <v>101</v>
      </c>
      <c r="V145" s="1"/>
      <c r="W145" s="1"/>
      <c r="X145" s="1" t="s">
        <v>735</v>
      </c>
      <c r="Y145" s="1" t="s">
        <v>256</v>
      </c>
      <c r="Z145" s="1" t="s">
        <v>46</v>
      </c>
      <c r="AA145" s="1"/>
      <c r="AB145" s="1" t="s">
        <v>44</v>
      </c>
      <c r="AC145" s="1" t="s">
        <v>45</v>
      </c>
      <c r="AD145" s="1" t="s">
        <v>43</v>
      </c>
      <c r="AE145" s="1" t="s">
        <v>43</v>
      </c>
      <c r="AF145" s="1"/>
      <c r="AG145" s="1" t="s">
        <v>43</v>
      </c>
      <c r="AH145" s="2">
        <v>45378</v>
      </c>
    </row>
    <row r="146" spans="1:34" x14ac:dyDescent="0.3">
      <c r="A146" s="1">
        <v>8414401</v>
      </c>
      <c r="B146" s="1">
        <v>16.82</v>
      </c>
      <c r="C146" s="1">
        <v>999</v>
      </c>
      <c r="D146" s="1">
        <v>1201</v>
      </c>
      <c r="E146" s="1" t="s">
        <v>43</v>
      </c>
      <c r="F146" s="1">
        <v>0</v>
      </c>
      <c r="G146" s="1" t="s">
        <v>736</v>
      </c>
      <c r="H146" s="1" t="s">
        <v>737</v>
      </c>
      <c r="I146" s="1" t="str">
        <f>HYPERLINK("https://www.systembolaget.se/produkt/sprit/tamdhu-8414401/","https://www.systembolaget.se/produkt/sprit/tamdhu-8414401/")</f>
        <v>https://www.systembolaget.se/produkt/sprit/tamdhu-8414401/</v>
      </c>
      <c r="J146" s="1">
        <v>16.68</v>
      </c>
      <c r="K146" s="1">
        <v>16.82</v>
      </c>
      <c r="L146" s="2">
        <v>45389</v>
      </c>
      <c r="M146" s="1" t="s">
        <v>738</v>
      </c>
      <c r="N146" s="1">
        <v>0.32</v>
      </c>
      <c r="O146" s="1">
        <v>700</v>
      </c>
      <c r="P146" s="1">
        <v>46</v>
      </c>
      <c r="Q146" s="1" t="s">
        <v>308</v>
      </c>
      <c r="R146" s="1" t="s">
        <v>309</v>
      </c>
      <c r="S146" s="1" t="s">
        <v>318</v>
      </c>
      <c r="T146" s="1"/>
      <c r="U146" s="1" t="s">
        <v>253</v>
      </c>
      <c r="V146" s="1" t="s">
        <v>254</v>
      </c>
      <c r="W146" s="1" t="s">
        <v>721</v>
      </c>
      <c r="X146" s="1" t="s">
        <v>739</v>
      </c>
      <c r="Y146" s="1" t="s">
        <v>256</v>
      </c>
      <c r="Z146" s="1" t="s">
        <v>43</v>
      </c>
      <c r="AA146" s="1"/>
      <c r="AB146" s="1" t="s">
        <v>44</v>
      </c>
      <c r="AC146" s="1" t="s">
        <v>45</v>
      </c>
      <c r="AD146" s="1" t="s">
        <v>43</v>
      </c>
      <c r="AE146" s="1" t="s">
        <v>43</v>
      </c>
      <c r="AF146" s="1"/>
      <c r="AG146" s="1" t="s">
        <v>43</v>
      </c>
      <c r="AH146" s="2">
        <v>43822</v>
      </c>
    </row>
    <row r="147" spans="1:34" x14ac:dyDescent="0.3">
      <c r="A147" s="1">
        <v>240801</v>
      </c>
      <c r="B147" s="1">
        <v>16.809999999999999</v>
      </c>
      <c r="C147" s="1">
        <v>99</v>
      </c>
      <c r="D147" s="1">
        <v>119</v>
      </c>
      <c r="E147" s="1" t="s">
        <v>43</v>
      </c>
      <c r="F147" s="1">
        <v>0</v>
      </c>
      <c r="G147" s="1" t="s">
        <v>740</v>
      </c>
      <c r="H147" s="1" t="s">
        <v>741</v>
      </c>
      <c r="I147" s="1" t="str">
        <f>HYPERLINK("https://www.systembolaget.se/produkt/vin/nanit-orange-240801/","https://www.systembolaget.se/produkt/vin/nanit-orange-240801/")</f>
        <v>https://www.systembolaget.se/produkt/vin/nanit-orange-240801/</v>
      </c>
      <c r="J147" s="1">
        <v>16.809999999999999</v>
      </c>
      <c r="K147" s="1">
        <v>16.809999999999999</v>
      </c>
      <c r="L147" s="2">
        <v>45534</v>
      </c>
      <c r="M147" s="1" t="s">
        <v>742</v>
      </c>
      <c r="N147" s="1">
        <v>1.02</v>
      </c>
      <c r="O147" s="1">
        <v>750</v>
      </c>
      <c r="P147" s="1">
        <v>13.5</v>
      </c>
      <c r="Q147" s="1" t="s">
        <v>38</v>
      </c>
      <c r="R147" s="1" t="s">
        <v>39</v>
      </c>
      <c r="S147" s="1" t="s">
        <v>283</v>
      </c>
      <c r="T147" s="1"/>
      <c r="U147" s="1" t="s">
        <v>164</v>
      </c>
      <c r="V147" s="1" t="s">
        <v>518</v>
      </c>
      <c r="W147" s="1" t="s">
        <v>519</v>
      </c>
      <c r="X147" s="1" t="s">
        <v>743</v>
      </c>
      <c r="Y147" s="1" t="s">
        <v>188</v>
      </c>
      <c r="Z147" s="1" t="s">
        <v>46</v>
      </c>
      <c r="AA147" s="1">
        <v>2024</v>
      </c>
      <c r="AB147" s="1" t="s">
        <v>77</v>
      </c>
      <c r="AC147" s="1" t="s">
        <v>90</v>
      </c>
      <c r="AD147" s="1" t="s">
        <v>43</v>
      </c>
      <c r="AE147" s="1" t="s">
        <v>43</v>
      </c>
      <c r="AF147" s="1">
        <v>3</v>
      </c>
      <c r="AG147" s="1" t="s">
        <v>43</v>
      </c>
      <c r="AH147" s="2">
        <v>45444</v>
      </c>
    </row>
    <row r="148" spans="1:34" x14ac:dyDescent="0.3">
      <c r="A148" s="1">
        <v>7674601</v>
      </c>
      <c r="B148" s="1">
        <v>16.809999999999999</v>
      </c>
      <c r="C148" s="1">
        <v>99</v>
      </c>
      <c r="D148" s="1">
        <v>119</v>
      </c>
      <c r="E148" s="1" t="s">
        <v>43</v>
      </c>
      <c r="F148" s="1">
        <v>0</v>
      </c>
      <c r="G148" s="1" t="s">
        <v>744</v>
      </c>
      <c r="H148" s="1" t="s">
        <v>745</v>
      </c>
      <c r="I148" s="1" t="str">
        <f>HYPERLINK("https://www.systembolaget.se/produkt/vin/ingrosso-7674601/","https://www.systembolaget.se/produkt/vin/ingrosso-7674601/")</f>
        <v>https://www.systembolaget.se/produkt/vin/ingrosso-7674601/</v>
      </c>
      <c r="J148" s="1">
        <v>16.809999999999999</v>
      </c>
      <c r="K148" s="1">
        <v>16.809999999999999</v>
      </c>
      <c r="L148" s="2">
        <v>45964</v>
      </c>
      <c r="M148" s="1" t="s">
        <v>742</v>
      </c>
      <c r="N148" s="1">
        <v>0.98</v>
      </c>
      <c r="O148" s="1">
        <v>750</v>
      </c>
      <c r="P148" s="1">
        <v>13</v>
      </c>
      <c r="Q148" s="1" t="s">
        <v>38</v>
      </c>
      <c r="R148" s="1" t="s">
        <v>52</v>
      </c>
      <c r="S148" s="1" t="s">
        <v>84</v>
      </c>
      <c r="T148" s="1"/>
      <c r="U148" s="1" t="s">
        <v>53</v>
      </c>
      <c r="V148" s="1" t="s">
        <v>577</v>
      </c>
      <c r="W148" s="1"/>
      <c r="X148" s="1" t="s">
        <v>746</v>
      </c>
      <c r="Y148" s="1" t="s">
        <v>285</v>
      </c>
      <c r="Z148" s="1" t="s">
        <v>43</v>
      </c>
      <c r="AA148" s="1">
        <v>2024</v>
      </c>
      <c r="AB148" s="1" t="s">
        <v>44</v>
      </c>
      <c r="AC148" s="1" t="s">
        <v>45</v>
      </c>
      <c r="AD148" s="1" t="s">
        <v>43</v>
      </c>
      <c r="AE148" s="1" t="s">
        <v>43</v>
      </c>
      <c r="AF148" s="1">
        <v>9</v>
      </c>
      <c r="AG148" s="1" t="s">
        <v>43</v>
      </c>
      <c r="AH148" s="2">
        <v>45971</v>
      </c>
    </row>
    <row r="149" spans="1:34" x14ac:dyDescent="0.3">
      <c r="A149" s="1">
        <v>7719301</v>
      </c>
      <c r="B149" s="1">
        <v>16.809999999999999</v>
      </c>
      <c r="C149" s="1">
        <v>99</v>
      </c>
      <c r="D149" s="1">
        <v>119</v>
      </c>
      <c r="E149" s="1" t="s">
        <v>43</v>
      </c>
      <c r="F149" s="1">
        <v>0</v>
      </c>
      <c r="G149" s="1" t="s">
        <v>747</v>
      </c>
      <c r="H149" s="1" t="s">
        <v>203</v>
      </c>
      <c r="I149" s="1" t="str">
        <f>HYPERLINK("https://www.systembolaget.se/produkt/vin/dolly-7719301/","https://www.systembolaget.se/produkt/vin/dolly-7719301/")</f>
        <v>https://www.systembolaget.se/produkt/vin/dolly-7719301/</v>
      </c>
      <c r="J149" s="1">
        <v>16.809999999999999</v>
      </c>
      <c r="K149" s="1">
        <v>16.809999999999999</v>
      </c>
      <c r="L149" s="2">
        <v>45693</v>
      </c>
      <c r="M149" s="1" t="s">
        <v>742</v>
      </c>
      <c r="N149" s="1">
        <v>0.8</v>
      </c>
      <c r="O149" s="1">
        <v>750</v>
      </c>
      <c r="P149" s="1">
        <v>10.5</v>
      </c>
      <c r="Q149" s="1" t="s">
        <v>38</v>
      </c>
      <c r="R149" s="1" t="s">
        <v>61</v>
      </c>
      <c r="S149" s="1" t="s">
        <v>68</v>
      </c>
      <c r="T149" s="1"/>
      <c r="U149" s="1" t="s">
        <v>53</v>
      </c>
      <c r="V149" s="1" t="s">
        <v>202</v>
      </c>
      <c r="W149" s="1" t="s">
        <v>203</v>
      </c>
      <c r="X149" s="1" t="s">
        <v>748</v>
      </c>
      <c r="Y149" s="1" t="s">
        <v>153</v>
      </c>
      <c r="Z149" s="1" t="s">
        <v>43</v>
      </c>
      <c r="AA149" s="1"/>
      <c r="AB149" s="1" t="s">
        <v>44</v>
      </c>
      <c r="AC149" s="1" t="s">
        <v>45</v>
      </c>
      <c r="AD149" s="1" t="s">
        <v>43</v>
      </c>
      <c r="AE149" s="1" t="s">
        <v>43</v>
      </c>
      <c r="AF149" s="1">
        <v>13</v>
      </c>
      <c r="AG149" s="1" t="s">
        <v>43</v>
      </c>
      <c r="AH149" s="2">
        <v>45700</v>
      </c>
    </row>
    <row r="150" spans="1:34" x14ac:dyDescent="0.3">
      <c r="A150" s="1">
        <v>7746201</v>
      </c>
      <c r="B150" s="1">
        <v>16.809999999999999</v>
      </c>
      <c r="C150" s="1">
        <v>99</v>
      </c>
      <c r="D150" s="1">
        <v>119</v>
      </c>
      <c r="E150" s="1" t="s">
        <v>43</v>
      </c>
      <c r="F150" s="1">
        <v>0</v>
      </c>
      <c r="G150" s="1" t="s">
        <v>749</v>
      </c>
      <c r="H150" s="1" t="s">
        <v>750</v>
      </c>
      <c r="I150" s="1" t="str">
        <f>HYPERLINK("https://www.systembolaget.se/produkt/vin/ingrosso-io-e-te-7746201/","https://www.systembolaget.se/produkt/vin/ingrosso-io-e-te-7746201/")</f>
        <v>https://www.systembolaget.se/produkt/vin/ingrosso-io-e-te-7746201/</v>
      </c>
      <c r="J150" s="1">
        <v>16.809999999999999</v>
      </c>
      <c r="K150" s="1">
        <v>16.809999999999999</v>
      </c>
      <c r="L150" s="2">
        <v>45775</v>
      </c>
      <c r="M150" s="1" t="s">
        <v>742</v>
      </c>
      <c r="N150" s="1">
        <v>0.83</v>
      </c>
      <c r="O150" s="1">
        <v>750</v>
      </c>
      <c r="P150" s="1">
        <v>11</v>
      </c>
      <c r="Q150" s="1" t="s">
        <v>38</v>
      </c>
      <c r="R150" s="1" t="s">
        <v>61</v>
      </c>
      <c r="S150" s="1" t="s">
        <v>68</v>
      </c>
      <c r="T150" s="1"/>
      <c r="U150" s="1" t="s">
        <v>53</v>
      </c>
      <c r="V150" s="1"/>
      <c r="W150" s="1"/>
      <c r="X150" s="1" t="s">
        <v>454</v>
      </c>
      <c r="Y150" s="1" t="s">
        <v>285</v>
      </c>
      <c r="Z150" s="1" t="s">
        <v>43</v>
      </c>
      <c r="AA150" s="1"/>
      <c r="AB150" s="1" t="s">
        <v>44</v>
      </c>
      <c r="AC150" s="1" t="s">
        <v>45</v>
      </c>
      <c r="AD150" s="1" t="s">
        <v>43</v>
      </c>
      <c r="AE150" s="1" t="s">
        <v>43</v>
      </c>
      <c r="AF150" s="1">
        <v>13</v>
      </c>
      <c r="AG150" s="1" t="s">
        <v>43</v>
      </c>
      <c r="AH150" s="2">
        <v>45782</v>
      </c>
    </row>
    <row r="151" spans="1:34" x14ac:dyDescent="0.3">
      <c r="A151" s="1">
        <v>7204401</v>
      </c>
      <c r="B151" s="1">
        <v>16.809999999999999</v>
      </c>
      <c r="C151" s="1">
        <v>99</v>
      </c>
      <c r="D151" s="1">
        <v>119</v>
      </c>
      <c r="E151" s="1" t="s">
        <v>43</v>
      </c>
      <c r="F151" s="1">
        <v>0</v>
      </c>
      <c r="G151" s="1" t="s">
        <v>751</v>
      </c>
      <c r="H151" s="1" t="s">
        <v>752</v>
      </c>
      <c r="I151" s="1" t="str">
        <f>HYPERLINK("https://www.systembolaget.se/produkt/vin/sumo-cat-riesling-7204401/","https://www.systembolaget.se/produkt/vin/sumo-cat-riesling-7204401/")</f>
        <v>https://www.systembolaget.se/produkt/vin/sumo-cat-riesling-7204401/</v>
      </c>
      <c r="J151" s="1">
        <v>16.809999999999999</v>
      </c>
      <c r="K151" s="1">
        <v>16.809999999999999</v>
      </c>
      <c r="L151" s="2">
        <v>45915</v>
      </c>
      <c r="M151" s="1" t="s">
        <v>742</v>
      </c>
      <c r="N151" s="1">
        <v>0.8</v>
      </c>
      <c r="O151" s="1">
        <v>750</v>
      </c>
      <c r="P151" s="1">
        <v>10.5</v>
      </c>
      <c r="Q151" s="1" t="s">
        <v>38</v>
      </c>
      <c r="R151" s="1" t="s">
        <v>39</v>
      </c>
      <c r="S151" s="1"/>
      <c r="T151" s="1"/>
      <c r="U151" s="1" t="s">
        <v>119</v>
      </c>
      <c r="V151" s="1" t="s">
        <v>753</v>
      </c>
      <c r="W151" s="1"/>
      <c r="X151" s="1" t="s">
        <v>752</v>
      </c>
      <c r="Y151" s="1" t="s">
        <v>754</v>
      </c>
      <c r="Z151" s="1" t="s">
        <v>43</v>
      </c>
      <c r="AA151" s="1">
        <v>2023</v>
      </c>
      <c r="AB151" s="1" t="s">
        <v>77</v>
      </c>
      <c r="AC151" s="1" t="s">
        <v>45</v>
      </c>
      <c r="AD151" s="1" t="s">
        <v>43</v>
      </c>
      <c r="AE151" s="1" t="s">
        <v>43</v>
      </c>
      <c r="AF151" s="1"/>
      <c r="AG151" s="1" t="s">
        <v>43</v>
      </c>
      <c r="AH151" s="2">
        <v>45922</v>
      </c>
    </row>
    <row r="152" spans="1:34" x14ac:dyDescent="0.3">
      <c r="A152" s="1">
        <v>7278801</v>
      </c>
      <c r="B152" s="1">
        <v>16.809999999999999</v>
      </c>
      <c r="C152" s="1">
        <v>495</v>
      </c>
      <c r="D152" s="1">
        <v>595</v>
      </c>
      <c r="E152" s="1" t="s">
        <v>43</v>
      </c>
      <c r="F152" s="1">
        <v>0</v>
      </c>
      <c r="G152" s="1" t="s">
        <v>755</v>
      </c>
      <c r="H152" s="1" t="s">
        <v>756</v>
      </c>
      <c r="I152" s="1" t="str">
        <f>HYPERLINK("https://www.systembolaget.se/produkt/vin/skepparps-7278801/","https://www.systembolaget.se/produkt/vin/skepparps-7278801/")</f>
        <v>https://www.systembolaget.se/produkt/vin/skepparps-7278801/</v>
      </c>
      <c r="J152" s="1">
        <v>37.74</v>
      </c>
      <c r="K152" s="1">
        <v>16.809999999999999</v>
      </c>
      <c r="L152" s="2">
        <v>45579</v>
      </c>
      <c r="M152" s="1" t="s">
        <v>757</v>
      </c>
      <c r="N152" s="1">
        <v>0.19</v>
      </c>
      <c r="O152" s="1">
        <v>750</v>
      </c>
      <c r="P152" s="1">
        <v>12.5</v>
      </c>
      <c r="Q152" s="1" t="s">
        <v>38</v>
      </c>
      <c r="R152" s="1" t="s">
        <v>61</v>
      </c>
      <c r="S152" s="1"/>
      <c r="T152" s="1"/>
      <c r="U152" s="1" t="s">
        <v>53</v>
      </c>
      <c r="V152" s="1"/>
      <c r="W152" s="1"/>
      <c r="X152" s="1" t="s">
        <v>758</v>
      </c>
      <c r="Y152" s="1" t="s">
        <v>759</v>
      </c>
      <c r="Z152" s="1" t="s">
        <v>43</v>
      </c>
      <c r="AA152" s="1">
        <v>2005</v>
      </c>
      <c r="AB152" s="1" t="s">
        <v>44</v>
      </c>
      <c r="AC152" s="1" t="s">
        <v>45</v>
      </c>
      <c r="AD152" s="1" t="s">
        <v>43</v>
      </c>
      <c r="AE152" s="1" t="s">
        <v>43</v>
      </c>
      <c r="AF152" s="1"/>
      <c r="AG152" s="1" t="s">
        <v>43</v>
      </c>
      <c r="AH152" s="2">
        <v>45593</v>
      </c>
    </row>
    <row r="153" spans="1:34" x14ac:dyDescent="0.3">
      <c r="A153" s="1">
        <v>5733906</v>
      </c>
      <c r="B153" s="1">
        <v>16.809999999999999</v>
      </c>
      <c r="C153" s="1">
        <v>99</v>
      </c>
      <c r="D153" s="1">
        <v>119</v>
      </c>
      <c r="E153" s="1" t="s">
        <v>43</v>
      </c>
      <c r="F153" s="1">
        <v>0</v>
      </c>
      <c r="G153" s="1" t="s">
        <v>760</v>
      </c>
      <c r="H153" s="1" t="s">
        <v>221</v>
      </c>
      <c r="I153" s="1" t="str">
        <f>HYPERLINK("https://www.systembolaget.se/produkt/vin/relax-5733906/","https://www.systembolaget.se/produkt/vin/relax-5733906/")</f>
        <v>https://www.systembolaget.se/produkt/vin/relax-5733906/</v>
      </c>
      <c r="J153" s="1">
        <v>23.26</v>
      </c>
      <c r="K153" s="1">
        <v>16.809999999999999</v>
      </c>
      <c r="L153" s="2">
        <v>45444</v>
      </c>
      <c r="M153" s="1" t="s">
        <v>761</v>
      </c>
      <c r="N153" s="1">
        <v>1.36</v>
      </c>
      <c r="O153" s="1">
        <v>1500</v>
      </c>
      <c r="P153" s="1">
        <v>9</v>
      </c>
      <c r="Q153" s="1" t="s">
        <v>38</v>
      </c>
      <c r="R153" s="1" t="s">
        <v>39</v>
      </c>
      <c r="S153" s="1"/>
      <c r="T153" s="1"/>
      <c r="U153" s="1" t="s">
        <v>119</v>
      </c>
      <c r="V153" s="1"/>
      <c r="W153" s="1"/>
      <c r="X153" s="1" t="s">
        <v>762</v>
      </c>
      <c r="Y153" s="1" t="s">
        <v>256</v>
      </c>
      <c r="Z153" s="1" t="s">
        <v>43</v>
      </c>
      <c r="AA153" s="1">
        <v>2021</v>
      </c>
      <c r="AB153" s="1" t="s">
        <v>375</v>
      </c>
      <c r="AC153" s="1" t="s">
        <v>45</v>
      </c>
      <c r="AD153" s="1" t="s">
        <v>43</v>
      </c>
      <c r="AE153" s="1" t="s">
        <v>43</v>
      </c>
      <c r="AF153" s="1"/>
      <c r="AG153" s="1" t="s">
        <v>43</v>
      </c>
      <c r="AH153" s="2">
        <v>45180</v>
      </c>
    </row>
    <row r="154" spans="1:34" x14ac:dyDescent="0.3">
      <c r="A154" s="1">
        <v>7849301</v>
      </c>
      <c r="B154" s="1">
        <v>16.760000000000002</v>
      </c>
      <c r="C154" s="1">
        <v>149</v>
      </c>
      <c r="D154" s="1">
        <v>179</v>
      </c>
      <c r="E154" s="1" t="s">
        <v>43</v>
      </c>
      <c r="F154" s="1">
        <v>0</v>
      </c>
      <c r="G154" s="1" t="s">
        <v>763</v>
      </c>
      <c r="H154" s="1" t="s">
        <v>764</v>
      </c>
      <c r="I154" s="1" t="str">
        <f>HYPERLINK("https://www.systembolaget.se/produkt/vin/piemonte-rosato-7849301/","https://www.systembolaget.se/produkt/vin/piemonte-rosato-7849301/")</f>
        <v>https://www.systembolaget.se/produkt/vin/piemonte-rosato-7849301/</v>
      </c>
      <c r="J154" s="1">
        <v>16.760000000000002</v>
      </c>
      <c r="K154" s="1">
        <v>16.760000000000002</v>
      </c>
      <c r="L154" s="2">
        <v>45436</v>
      </c>
      <c r="M154" s="1" t="s">
        <v>765</v>
      </c>
      <c r="N154" s="1">
        <v>0.6</v>
      </c>
      <c r="O154" s="1">
        <v>750</v>
      </c>
      <c r="P154" s="1">
        <v>12</v>
      </c>
      <c r="Q154" s="1" t="s">
        <v>38</v>
      </c>
      <c r="R154" s="1" t="s">
        <v>80</v>
      </c>
      <c r="S154" s="1"/>
      <c r="T154" s="1"/>
      <c r="U154" s="1" t="s">
        <v>53</v>
      </c>
      <c r="V154" s="1" t="s">
        <v>95</v>
      </c>
      <c r="W154" s="1"/>
      <c r="X154" s="1" t="s">
        <v>766</v>
      </c>
      <c r="Y154" s="1" t="s">
        <v>64</v>
      </c>
      <c r="Z154" s="1" t="s">
        <v>43</v>
      </c>
      <c r="AA154" s="1">
        <v>2020</v>
      </c>
      <c r="AB154" s="1" t="s">
        <v>44</v>
      </c>
      <c r="AC154" s="1" t="s">
        <v>45</v>
      </c>
      <c r="AD154" s="1" t="s">
        <v>43</v>
      </c>
      <c r="AE154" s="1" t="s">
        <v>43</v>
      </c>
      <c r="AF154" s="1"/>
      <c r="AG154" s="1" t="s">
        <v>43</v>
      </c>
      <c r="AH154" s="2">
        <v>43640</v>
      </c>
    </row>
    <row r="155" spans="1:34" x14ac:dyDescent="0.3">
      <c r="A155" s="1">
        <v>7894601</v>
      </c>
      <c r="B155" s="1">
        <v>16.760000000000002</v>
      </c>
      <c r="C155" s="1">
        <v>149</v>
      </c>
      <c r="D155" s="1">
        <v>179</v>
      </c>
      <c r="E155" s="1" t="s">
        <v>43</v>
      </c>
      <c r="F155" s="1">
        <v>0</v>
      </c>
      <c r="G155" s="1" t="s">
        <v>767</v>
      </c>
      <c r="H155" s="1" t="s">
        <v>768</v>
      </c>
      <c r="I155" s="1" t="str">
        <f>HYPERLINK("https://www.systembolaget.se/produkt/vin/plaimont-7894601/","https://www.systembolaget.se/produkt/vin/plaimont-7894601/")</f>
        <v>https://www.systembolaget.se/produkt/vin/plaimont-7894601/</v>
      </c>
      <c r="J155" s="1">
        <v>16.760000000000002</v>
      </c>
      <c r="K155" s="1">
        <v>16.760000000000002</v>
      </c>
      <c r="L155" s="2">
        <v>45985</v>
      </c>
      <c r="M155" s="1" t="s">
        <v>769</v>
      </c>
      <c r="N155" s="1">
        <v>0.73</v>
      </c>
      <c r="O155" s="1">
        <v>750</v>
      </c>
      <c r="P155" s="1">
        <v>14.5</v>
      </c>
      <c r="Q155" s="1" t="s">
        <v>38</v>
      </c>
      <c r="R155" s="1" t="s">
        <v>52</v>
      </c>
      <c r="S155" s="1"/>
      <c r="T155" s="1"/>
      <c r="U155" s="1" t="s">
        <v>101</v>
      </c>
      <c r="V155" s="1" t="s">
        <v>568</v>
      </c>
      <c r="W155" s="1" t="s">
        <v>770</v>
      </c>
      <c r="X155" s="1" t="s">
        <v>771</v>
      </c>
      <c r="Y155" s="1" t="s">
        <v>145</v>
      </c>
      <c r="Z155" s="1" t="s">
        <v>43</v>
      </c>
      <c r="AA155" s="1">
        <v>2014</v>
      </c>
      <c r="AB155" s="1" t="s">
        <v>44</v>
      </c>
      <c r="AC155" s="1" t="s">
        <v>45</v>
      </c>
      <c r="AD155" s="1" t="s">
        <v>43</v>
      </c>
      <c r="AE155" s="1" t="s">
        <v>43</v>
      </c>
      <c r="AF155" s="1"/>
      <c r="AG155" s="1" t="s">
        <v>43</v>
      </c>
      <c r="AH155" s="2">
        <v>45992</v>
      </c>
    </row>
    <row r="156" spans="1:34" x14ac:dyDescent="0.3">
      <c r="A156" s="1">
        <v>7394201</v>
      </c>
      <c r="B156" s="1">
        <v>16.739999999999998</v>
      </c>
      <c r="C156" s="1">
        <v>199</v>
      </c>
      <c r="D156" s="1">
        <v>239</v>
      </c>
      <c r="E156" s="1" t="s">
        <v>43</v>
      </c>
      <c r="F156" s="1">
        <v>0</v>
      </c>
      <c r="G156" s="1" t="s">
        <v>772</v>
      </c>
      <c r="H156" s="1" t="s">
        <v>773</v>
      </c>
      <c r="I156" s="1" t="str">
        <f>HYPERLINK("https://www.systembolaget.se/produkt/vin/jurtschitsch-7394201/","https://www.systembolaget.se/produkt/vin/jurtschitsch-7394201/")</f>
        <v>https://www.systembolaget.se/produkt/vin/jurtschitsch-7394201/</v>
      </c>
      <c r="J156" s="1">
        <v>16.739999999999998</v>
      </c>
      <c r="K156" s="1">
        <v>16.739999999999998</v>
      </c>
      <c r="L156" s="2">
        <v>45389</v>
      </c>
      <c r="M156" s="1" t="s">
        <v>774</v>
      </c>
      <c r="N156" s="1">
        <v>0.47</v>
      </c>
      <c r="O156" s="1">
        <v>750</v>
      </c>
      <c r="P156" s="1">
        <v>12.5</v>
      </c>
      <c r="Q156" s="1" t="s">
        <v>38</v>
      </c>
      <c r="R156" s="1" t="s">
        <v>39</v>
      </c>
      <c r="S156" s="1"/>
      <c r="T156" s="1"/>
      <c r="U156" s="1" t="s">
        <v>295</v>
      </c>
      <c r="V156" s="1" t="s">
        <v>296</v>
      </c>
      <c r="W156" s="1" t="s">
        <v>775</v>
      </c>
      <c r="X156" s="1" t="s">
        <v>776</v>
      </c>
      <c r="Y156" s="1" t="s">
        <v>121</v>
      </c>
      <c r="Z156" s="1" t="s">
        <v>46</v>
      </c>
      <c r="AA156" s="1">
        <v>2025</v>
      </c>
      <c r="AB156" s="1" t="s">
        <v>44</v>
      </c>
      <c r="AC156" s="1" t="s">
        <v>45</v>
      </c>
      <c r="AD156" s="1" t="s">
        <v>43</v>
      </c>
      <c r="AE156" s="1" t="s">
        <v>43</v>
      </c>
      <c r="AF156" s="1"/>
      <c r="AG156" s="1" t="s">
        <v>43</v>
      </c>
      <c r="AH156" s="2">
        <v>42156</v>
      </c>
    </row>
    <row r="157" spans="1:34" x14ac:dyDescent="0.3">
      <c r="A157" s="1">
        <v>3969301</v>
      </c>
      <c r="B157" s="1">
        <v>16.72</v>
      </c>
      <c r="C157" s="1">
        <v>249</v>
      </c>
      <c r="D157" s="1">
        <v>299</v>
      </c>
      <c r="E157" s="1" t="s">
        <v>43</v>
      </c>
      <c r="F157" s="1">
        <v>0</v>
      </c>
      <c r="G157" s="1" t="s">
        <v>777</v>
      </c>
      <c r="H157" s="1" t="s">
        <v>324</v>
      </c>
      <c r="I157" s="1" t="str">
        <f>HYPERLINK("https://www.systembolaget.se/produkt/sprit/shaman-s-bilberry-3969301/","https://www.systembolaget.se/produkt/sprit/shaman-s-bilberry-3969301/")</f>
        <v>https://www.systembolaget.se/produkt/sprit/shaman-s-bilberry-3969301/</v>
      </c>
      <c r="J157" s="1">
        <v>16.72</v>
      </c>
      <c r="K157" s="1">
        <v>16.72</v>
      </c>
      <c r="L157" s="2">
        <v>45389</v>
      </c>
      <c r="M157" s="1" t="s">
        <v>778</v>
      </c>
      <c r="N157" s="1">
        <v>1.05</v>
      </c>
      <c r="O157" s="1">
        <v>700</v>
      </c>
      <c r="P157" s="1">
        <v>37.5</v>
      </c>
      <c r="Q157" s="1" t="s">
        <v>308</v>
      </c>
      <c r="R157" s="1" t="s">
        <v>779</v>
      </c>
      <c r="S157" s="1" t="s">
        <v>780</v>
      </c>
      <c r="T157" s="1"/>
      <c r="U157" s="1" t="s">
        <v>781</v>
      </c>
      <c r="V157" s="1"/>
      <c r="W157" s="1"/>
      <c r="X157" s="1" t="s">
        <v>782</v>
      </c>
      <c r="Y157" s="1" t="s">
        <v>783</v>
      </c>
      <c r="Z157" s="1" t="s">
        <v>43</v>
      </c>
      <c r="AA157" s="1"/>
      <c r="AB157" s="1" t="s">
        <v>44</v>
      </c>
      <c r="AC157" s="1" t="s">
        <v>45</v>
      </c>
      <c r="AD157" s="1" t="s">
        <v>43</v>
      </c>
      <c r="AE157" s="1" t="s">
        <v>43</v>
      </c>
      <c r="AF157" s="1">
        <v>97</v>
      </c>
      <c r="AG157" s="1" t="s">
        <v>43</v>
      </c>
      <c r="AH157" s="2">
        <v>45145</v>
      </c>
    </row>
    <row r="158" spans="1:34" x14ac:dyDescent="0.3">
      <c r="A158" s="1">
        <v>3969501</v>
      </c>
      <c r="B158" s="1">
        <v>16.72</v>
      </c>
      <c r="C158" s="1">
        <v>249</v>
      </c>
      <c r="D158" s="1">
        <v>299</v>
      </c>
      <c r="E158" s="1" t="s">
        <v>43</v>
      </c>
      <c r="F158" s="1">
        <v>0</v>
      </c>
      <c r="G158" s="1" t="s">
        <v>784</v>
      </c>
      <c r="H158" s="1" t="s">
        <v>785</v>
      </c>
      <c r="I158" s="1" t="str">
        <f>HYPERLINK("https://www.systembolaget.se/produkt/sprit/shaman-s-3969501/","https://www.systembolaget.se/produkt/sprit/shaman-s-3969501/")</f>
        <v>https://www.systembolaget.se/produkt/sprit/shaman-s-3969501/</v>
      </c>
      <c r="J158" s="1">
        <v>16.72</v>
      </c>
      <c r="K158" s="1">
        <v>16.72</v>
      </c>
      <c r="L158" s="2">
        <v>45442</v>
      </c>
      <c r="M158" s="1" t="s">
        <v>778</v>
      </c>
      <c r="N158" s="1">
        <v>1.05</v>
      </c>
      <c r="O158" s="1">
        <v>700</v>
      </c>
      <c r="P158" s="1">
        <v>37.5</v>
      </c>
      <c r="Q158" s="1" t="s">
        <v>308</v>
      </c>
      <c r="R158" s="1" t="s">
        <v>779</v>
      </c>
      <c r="S158" s="1" t="s">
        <v>780</v>
      </c>
      <c r="T158" s="1"/>
      <c r="U158" s="1" t="s">
        <v>781</v>
      </c>
      <c r="V158" s="1"/>
      <c r="W158" s="1"/>
      <c r="X158" s="1" t="s">
        <v>782</v>
      </c>
      <c r="Y158" s="1" t="s">
        <v>783</v>
      </c>
      <c r="Z158" s="1" t="s">
        <v>43</v>
      </c>
      <c r="AA158" s="1"/>
      <c r="AB158" s="1" t="s">
        <v>44</v>
      </c>
      <c r="AC158" s="1" t="s">
        <v>45</v>
      </c>
      <c r="AD158" s="1" t="s">
        <v>43</v>
      </c>
      <c r="AE158" s="1" t="s">
        <v>43</v>
      </c>
      <c r="AF158" s="1">
        <v>91</v>
      </c>
      <c r="AG158" s="1" t="s">
        <v>43</v>
      </c>
      <c r="AH158" s="2">
        <v>45145</v>
      </c>
    </row>
    <row r="159" spans="1:34" x14ac:dyDescent="0.3">
      <c r="A159" s="1">
        <v>3984601</v>
      </c>
      <c r="B159" s="1">
        <v>16.72</v>
      </c>
      <c r="C159" s="1">
        <v>249</v>
      </c>
      <c r="D159" s="1">
        <v>299</v>
      </c>
      <c r="E159" s="1" t="s">
        <v>43</v>
      </c>
      <c r="F159" s="1">
        <v>0</v>
      </c>
      <c r="G159" s="1" t="s">
        <v>784</v>
      </c>
      <c r="H159" s="1" t="s">
        <v>786</v>
      </c>
      <c r="I159" s="1" t="str">
        <f>HYPERLINK("https://www.systembolaget.se/produkt/sprit/shaman-s-3984601/","https://www.systembolaget.se/produkt/sprit/shaman-s-3984601/")</f>
        <v>https://www.systembolaget.se/produkt/sprit/shaman-s-3984601/</v>
      </c>
      <c r="J159" s="1">
        <v>16.72</v>
      </c>
      <c r="K159" s="1">
        <v>16.72</v>
      </c>
      <c r="L159" s="2">
        <v>45389</v>
      </c>
      <c r="M159" s="1" t="s">
        <v>787</v>
      </c>
      <c r="N159" s="1">
        <v>1.05</v>
      </c>
      <c r="O159" s="1">
        <v>700</v>
      </c>
      <c r="P159" s="1">
        <v>37.5</v>
      </c>
      <c r="Q159" s="1" t="s">
        <v>308</v>
      </c>
      <c r="R159" s="1" t="s">
        <v>779</v>
      </c>
      <c r="S159" s="1" t="s">
        <v>780</v>
      </c>
      <c r="T159" s="1"/>
      <c r="U159" s="1" t="s">
        <v>781</v>
      </c>
      <c r="V159" s="1"/>
      <c r="W159" s="1"/>
      <c r="X159" s="1" t="s">
        <v>782</v>
      </c>
      <c r="Y159" s="1" t="s">
        <v>783</v>
      </c>
      <c r="Z159" s="1" t="s">
        <v>43</v>
      </c>
      <c r="AA159" s="1"/>
      <c r="AB159" s="1" t="s">
        <v>44</v>
      </c>
      <c r="AC159" s="1" t="s">
        <v>45</v>
      </c>
      <c r="AD159" s="1" t="s">
        <v>43</v>
      </c>
      <c r="AE159" s="1" t="s">
        <v>43</v>
      </c>
      <c r="AF159" s="1">
        <v>58</v>
      </c>
      <c r="AG159" s="1" t="s">
        <v>43</v>
      </c>
      <c r="AH159" s="2">
        <v>45173</v>
      </c>
    </row>
    <row r="160" spans="1:34" x14ac:dyDescent="0.3">
      <c r="A160" s="1">
        <v>3053015</v>
      </c>
      <c r="B160" s="1">
        <v>16.72</v>
      </c>
      <c r="C160" s="1">
        <v>24.9</v>
      </c>
      <c r="D160" s="1">
        <v>29.9</v>
      </c>
      <c r="E160" s="1" t="s">
        <v>43</v>
      </c>
      <c r="F160" s="1">
        <v>0</v>
      </c>
      <c r="G160" s="1" t="s">
        <v>529</v>
      </c>
      <c r="H160" s="1" t="s">
        <v>788</v>
      </c>
      <c r="I160" s="1" t="str">
        <f>HYPERLINK("https://www.systembolaget.se/produkt/ol/lovnas-bryggeri-3053015/","https://www.systembolaget.se/produkt/ol/lovnas-bryggeri-3053015/")</f>
        <v>https://www.systembolaget.se/produkt/ol/lovnas-bryggeri-3053015/</v>
      </c>
      <c r="J160" s="1">
        <v>16.72</v>
      </c>
      <c r="K160" s="1">
        <v>16.72</v>
      </c>
      <c r="L160" s="2">
        <v>45529</v>
      </c>
      <c r="M160" s="1" t="s">
        <v>789</v>
      </c>
      <c r="N160" s="1">
        <v>0.8</v>
      </c>
      <c r="O160" s="1">
        <v>330</v>
      </c>
      <c r="P160" s="1">
        <v>6</v>
      </c>
      <c r="Q160" s="1" t="s">
        <v>107</v>
      </c>
      <c r="R160" s="1" t="s">
        <v>108</v>
      </c>
      <c r="S160" s="1" t="s">
        <v>790</v>
      </c>
      <c r="T160" s="1"/>
      <c r="U160" s="1" t="s">
        <v>110</v>
      </c>
      <c r="V160" s="1" t="s">
        <v>380</v>
      </c>
      <c r="W160" s="1" t="s">
        <v>533</v>
      </c>
      <c r="X160" s="1" t="s">
        <v>529</v>
      </c>
      <c r="Y160" s="1" t="s">
        <v>534</v>
      </c>
      <c r="Z160" s="1" t="s">
        <v>43</v>
      </c>
      <c r="AA160" s="1"/>
      <c r="AB160" s="1" t="s">
        <v>114</v>
      </c>
      <c r="AC160" s="1" t="s">
        <v>115</v>
      </c>
      <c r="AD160" s="1" t="s">
        <v>46</v>
      </c>
      <c r="AE160" s="1" t="s">
        <v>43</v>
      </c>
      <c r="AF160" s="1"/>
      <c r="AG160" s="1" t="s">
        <v>43</v>
      </c>
      <c r="AH160" s="2">
        <v>45390</v>
      </c>
    </row>
    <row r="161" spans="1:34" x14ac:dyDescent="0.3">
      <c r="A161" s="1">
        <v>8658301</v>
      </c>
      <c r="B161" s="1">
        <v>16.690000000000001</v>
      </c>
      <c r="C161" s="1">
        <v>499</v>
      </c>
      <c r="D161" s="1">
        <v>599</v>
      </c>
      <c r="E161" s="1" t="s">
        <v>43</v>
      </c>
      <c r="F161" s="1">
        <v>0</v>
      </c>
      <c r="G161" s="1" t="s">
        <v>791</v>
      </c>
      <c r="H161" s="1" t="s">
        <v>792</v>
      </c>
      <c r="I161" s="1" t="str">
        <f>HYPERLINK("https://www.systembolaget.se/produkt/sprit/fettercairn-8658301/","https://www.systembolaget.se/produkt/sprit/fettercairn-8658301/")</f>
        <v>https://www.systembolaget.se/produkt/sprit/fettercairn-8658301/</v>
      </c>
      <c r="J161" s="1">
        <v>16.690000000000001</v>
      </c>
      <c r="K161" s="1">
        <v>16.690000000000001</v>
      </c>
      <c r="L161" s="2">
        <v>45389</v>
      </c>
      <c r="M161" s="1" t="s">
        <v>793</v>
      </c>
      <c r="N161" s="1">
        <v>0.56000000000000005</v>
      </c>
      <c r="O161" s="1">
        <v>700</v>
      </c>
      <c r="P161" s="1">
        <v>40</v>
      </c>
      <c r="Q161" s="1" t="s">
        <v>308</v>
      </c>
      <c r="R161" s="1" t="s">
        <v>309</v>
      </c>
      <c r="S161" s="1" t="s">
        <v>318</v>
      </c>
      <c r="T161" s="1"/>
      <c r="U161" s="1" t="s">
        <v>253</v>
      </c>
      <c r="V161" s="1" t="s">
        <v>254</v>
      </c>
      <c r="W161" s="1" t="s">
        <v>721</v>
      </c>
      <c r="X161" s="1" t="s">
        <v>794</v>
      </c>
      <c r="Y161" s="1" t="s">
        <v>285</v>
      </c>
      <c r="Z161" s="1" t="s">
        <v>43</v>
      </c>
      <c r="AA161" s="1"/>
      <c r="AB161" s="1" t="s">
        <v>44</v>
      </c>
      <c r="AC161" s="1" t="s">
        <v>45</v>
      </c>
      <c r="AD161" s="1" t="s">
        <v>43</v>
      </c>
      <c r="AE161" s="1" t="s">
        <v>43</v>
      </c>
      <c r="AF161" s="1">
        <v>2</v>
      </c>
      <c r="AG161" s="1" t="s">
        <v>43</v>
      </c>
      <c r="AH161" s="2">
        <v>43906</v>
      </c>
    </row>
    <row r="162" spans="1:34" x14ac:dyDescent="0.3">
      <c r="A162" s="1">
        <v>8272301</v>
      </c>
      <c r="B162" s="1">
        <v>16.68</v>
      </c>
      <c r="C162" s="1">
        <v>999</v>
      </c>
      <c r="D162" s="1">
        <v>1199</v>
      </c>
      <c r="E162" s="1" t="s">
        <v>43</v>
      </c>
      <c r="F162" s="1">
        <v>0</v>
      </c>
      <c r="G162" s="1" t="s">
        <v>795</v>
      </c>
      <c r="H162" s="1" t="s">
        <v>796</v>
      </c>
      <c r="I162" s="1" t="str">
        <f>HYPERLINK("https://www.systembolaget.se/produkt/sprit/aultmore-8272301/","https://www.systembolaget.se/produkt/sprit/aultmore-8272301/")</f>
        <v>https://www.systembolaget.se/produkt/sprit/aultmore-8272301/</v>
      </c>
      <c r="J162" s="1"/>
      <c r="K162" s="1">
        <v>16.68</v>
      </c>
      <c r="L162" s="2">
        <v>46106</v>
      </c>
      <c r="M162" s="1" t="s">
        <v>797</v>
      </c>
      <c r="N162" s="1">
        <v>0.38</v>
      </c>
      <c r="O162" s="1">
        <v>700</v>
      </c>
      <c r="P162" s="1">
        <v>54.9</v>
      </c>
      <c r="Q162" s="1" t="s">
        <v>308</v>
      </c>
      <c r="R162" s="1" t="s">
        <v>309</v>
      </c>
      <c r="S162" s="1" t="s">
        <v>318</v>
      </c>
      <c r="T162" s="1"/>
      <c r="U162" s="1" t="s">
        <v>253</v>
      </c>
      <c r="V162" s="1"/>
      <c r="W162" s="1"/>
      <c r="X162" s="1" t="s">
        <v>798</v>
      </c>
      <c r="Y162" s="1" t="s">
        <v>799</v>
      </c>
      <c r="Z162" s="1" t="s">
        <v>43</v>
      </c>
      <c r="AA162" s="1">
        <v>2013</v>
      </c>
      <c r="AB162" s="1" t="s">
        <v>44</v>
      </c>
      <c r="AC162" s="1" t="s">
        <v>45</v>
      </c>
      <c r="AD162" s="1" t="s">
        <v>43</v>
      </c>
      <c r="AE162" s="1" t="s">
        <v>43</v>
      </c>
      <c r="AF162" s="1"/>
      <c r="AG162" s="1" t="s">
        <v>43</v>
      </c>
      <c r="AH162" s="2">
        <v>46092</v>
      </c>
    </row>
    <row r="163" spans="1:34" x14ac:dyDescent="0.3">
      <c r="A163" s="1">
        <v>7488906</v>
      </c>
      <c r="B163" s="1">
        <v>16.670000000000002</v>
      </c>
      <c r="C163" s="1">
        <v>19999</v>
      </c>
      <c r="D163" s="1">
        <v>23999</v>
      </c>
      <c r="E163" s="1" t="s">
        <v>43</v>
      </c>
      <c r="F163" s="1">
        <v>0</v>
      </c>
      <c r="G163" s="1" t="s">
        <v>800</v>
      </c>
      <c r="H163" s="1" t="s">
        <v>801</v>
      </c>
      <c r="I163" s="1" t="str">
        <f>HYPERLINK("https://www.systembolaget.se/produkt/vin/musigny-grand-cru-vieilles-vignes-7488906/","https://www.systembolaget.se/produkt/vin/musigny-grand-cru-vieilles-vignes-7488906/")</f>
        <v>https://www.systembolaget.se/produkt/vin/musigny-grand-cru-vieilles-vignes-7488906/</v>
      </c>
      <c r="J163" s="1"/>
      <c r="K163" s="1">
        <v>16.670000000000002</v>
      </c>
      <c r="L163" s="2">
        <v>46119</v>
      </c>
      <c r="M163" s="1" t="s">
        <v>802</v>
      </c>
      <c r="N163" s="1">
        <v>0.01</v>
      </c>
      <c r="O163" s="1">
        <v>1500</v>
      </c>
      <c r="P163" s="1">
        <v>13.5</v>
      </c>
      <c r="Q163" s="1" t="s">
        <v>38</v>
      </c>
      <c r="R163" s="1" t="s">
        <v>52</v>
      </c>
      <c r="S163" s="1"/>
      <c r="T163" s="1"/>
      <c r="U163" s="1" t="s">
        <v>101</v>
      </c>
      <c r="V163" s="1" t="s">
        <v>142</v>
      </c>
      <c r="W163" s="1" t="s">
        <v>725</v>
      </c>
      <c r="X163" s="1" t="s">
        <v>801</v>
      </c>
      <c r="Y163" s="1" t="s">
        <v>678</v>
      </c>
      <c r="Z163" s="1" t="s">
        <v>43</v>
      </c>
      <c r="AA163" s="1">
        <v>2023</v>
      </c>
      <c r="AB163" s="1" t="s">
        <v>375</v>
      </c>
      <c r="AC163" s="1" t="s">
        <v>45</v>
      </c>
      <c r="AD163" s="1" t="s">
        <v>43</v>
      </c>
      <c r="AE163" s="1" t="s">
        <v>43</v>
      </c>
      <c r="AF163" s="1"/>
      <c r="AG163" s="1" t="s">
        <v>43</v>
      </c>
      <c r="AH163" s="2">
        <v>46125</v>
      </c>
    </row>
    <row r="164" spans="1:34" x14ac:dyDescent="0.3">
      <c r="A164" s="1">
        <v>8428101</v>
      </c>
      <c r="B164" s="1">
        <v>15.81</v>
      </c>
      <c r="C164" s="1">
        <v>799</v>
      </c>
      <c r="D164" s="1">
        <v>949</v>
      </c>
      <c r="E164" s="1" t="s">
        <v>43</v>
      </c>
      <c r="F164" s="1">
        <v>0</v>
      </c>
      <c r="G164" s="1" t="s">
        <v>803</v>
      </c>
      <c r="H164" s="1" t="s">
        <v>804</v>
      </c>
      <c r="I164" s="1" t="str">
        <f>HYPERLINK("https://www.systembolaget.se/produkt/sprit/nc-nean-distillery-8428101/","https://www.systembolaget.se/produkt/sprit/nc-nean-distillery-8428101/")</f>
        <v>https://www.systembolaget.se/produkt/sprit/nc-nean-distillery-8428101/</v>
      </c>
      <c r="J164" s="1">
        <v>27.3</v>
      </c>
      <c r="K164" s="1">
        <v>15.81</v>
      </c>
      <c r="L164" s="2">
        <v>45595</v>
      </c>
      <c r="M164" s="1" t="s">
        <v>805</v>
      </c>
      <c r="N164" s="1">
        <v>0.42</v>
      </c>
      <c r="O164" s="1">
        <v>700</v>
      </c>
      <c r="P164" s="1">
        <v>48.5</v>
      </c>
      <c r="Q164" s="1" t="s">
        <v>308</v>
      </c>
      <c r="R164" s="1" t="s">
        <v>309</v>
      </c>
      <c r="S164" s="1" t="s">
        <v>318</v>
      </c>
      <c r="T164" s="1"/>
      <c r="U164" s="1" t="s">
        <v>253</v>
      </c>
      <c r="V164" s="1" t="s">
        <v>254</v>
      </c>
      <c r="W164" s="1"/>
      <c r="X164" s="1" t="s">
        <v>803</v>
      </c>
      <c r="Y164" s="1" t="s">
        <v>256</v>
      </c>
      <c r="Z164" s="1" t="s">
        <v>46</v>
      </c>
      <c r="AA164" s="1"/>
      <c r="AB164" s="1" t="s">
        <v>44</v>
      </c>
      <c r="AC164" s="1" t="s">
        <v>45</v>
      </c>
      <c r="AD164" s="1" t="s">
        <v>43</v>
      </c>
      <c r="AE164" s="1" t="s">
        <v>43</v>
      </c>
      <c r="AF164" s="1"/>
      <c r="AG164" s="1" t="s">
        <v>43</v>
      </c>
      <c r="AH164" s="2">
        <v>45601</v>
      </c>
    </row>
    <row r="165" spans="1:34" x14ac:dyDescent="0.3">
      <c r="A165" s="1">
        <v>8580701</v>
      </c>
      <c r="B165" s="1">
        <v>15.59</v>
      </c>
      <c r="C165" s="1">
        <v>379</v>
      </c>
      <c r="D165" s="1">
        <v>449</v>
      </c>
      <c r="E165" s="1" t="s">
        <v>43</v>
      </c>
      <c r="F165" s="1">
        <v>0</v>
      </c>
      <c r="G165" s="1" t="s">
        <v>806</v>
      </c>
      <c r="H165" s="1" t="s">
        <v>807</v>
      </c>
      <c r="I165" s="1" t="str">
        <f>HYPERLINK("https://www.systembolaget.se/produkt/sprit/loch-lomond-8580701/","https://www.systembolaget.se/produkt/sprit/loch-lomond-8580701/")</f>
        <v>https://www.systembolaget.se/produkt/sprit/loch-lomond-8580701/</v>
      </c>
      <c r="J165" s="1">
        <v>15.59</v>
      </c>
      <c r="K165" s="1">
        <v>15.59</v>
      </c>
      <c r="L165" s="2">
        <v>45389</v>
      </c>
      <c r="M165" s="1" t="s">
        <v>808</v>
      </c>
      <c r="N165" s="1">
        <v>0.85</v>
      </c>
      <c r="O165" s="1">
        <v>700</v>
      </c>
      <c r="P165" s="1">
        <v>46</v>
      </c>
      <c r="Q165" s="1" t="s">
        <v>308</v>
      </c>
      <c r="R165" s="1" t="s">
        <v>309</v>
      </c>
      <c r="S165" s="1" t="s">
        <v>809</v>
      </c>
      <c r="T165" s="1"/>
      <c r="U165" s="1" t="s">
        <v>253</v>
      </c>
      <c r="V165" s="1" t="s">
        <v>254</v>
      </c>
      <c r="W165" s="1"/>
      <c r="X165" s="1" t="s">
        <v>632</v>
      </c>
      <c r="Y165" s="1" t="s">
        <v>261</v>
      </c>
      <c r="Z165" s="1" t="s">
        <v>43</v>
      </c>
      <c r="AA165" s="1"/>
      <c r="AB165" s="1" t="s">
        <v>44</v>
      </c>
      <c r="AC165" s="1" t="s">
        <v>45</v>
      </c>
      <c r="AD165" s="1" t="s">
        <v>43</v>
      </c>
      <c r="AE165" s="1" t="s">
        <v>43</v>
      </c>
      <c r="AF165" s="1"/>
      <c r="AG165" s="1" t="s">
        <v>43</v>
      </c>
      <c r="AH165" s="2">
        <v>43206</v>
      </c>
    </row>
    <row r="166" spans="1:34" x14ac:dyDescent="0.3">
      <c r="A166" s="1">
        <v>5136401</v>
      </c>
      <c r="B166" s="1">
        <v>15.59</v>
      </c>
      <c r="C166" s="1">
        <v>379</v>
      </c>
      <c r="D166" s="1">
        <v>449</v>
      </c>
      <c r="E166" s="1" t="s">
        <v>43</v>
      </c>
      <c r="F166" s="1">
        <v>0</v>
      </c>
      <c r="G166" s="1" t="s">
        <v>806</v>
      </c>
      <c r="H166" s="1" t="s">
        <v>810</v>
      </c>
      <c r="I166" s="1" t="str">
        <f>HYPERLINK("https://www.systembolaget.se/produkt/sprit/loch-lomond-5136401/","https://www.systembolaget.se/produkt/sprit/loch-lomond-5136401/")</f>
        <v>https://www.systembolaget.se/produkt/sprit/loch-lomond-5136401/</v>
      </c>
      <c r="J166" s="1">
        <v>15.59</v>
      </c>
      <c r="K166" s="1">
        <v>15.59</v>
      </c>
      <c r="L166" s="2">
        <v>45389</v>
      </c>
      <c r="M166" s="1" t="s">
        <v>808</v>
      </c>
      <c r="N166" s="1">
        <v>0.85</v>
      </c>
      <c r="O166" s="1">
        <v>700</v>
      </c>
      <c r="P166" s="1">
        <v>46</v>
      </c>
      <c r="Q166" s="1" t="s">
        <v>308</v>
      </c>
      <c r="R166" s="1" t="s">
        <v>309</v>
      </c>
      <c r="S166" s="1" t="s">
        <v>809</v>
      </c>
      <c r="T166" s="1"/>
      <c r="U166" s="1" t="s">
        <v>253</v>
      </c>
      <c r="V166" s="1" t="s">
        <v>254</v>
      </c>
      <c r="W166" s="1"/>
      <c r="X166" s="1" t="s">
        <v>632</v>
      </c>
      <c r="Y166" s="1" t="s">
        <v>261</v>
      </c>
      <c r="Z166" s="1" t="s">
        <v>43</v>
      </c>
      <c r="AA166" s="1"/>
      <c r="AB166" s="1" t="s">
        <v>44</v>
      </c>
      <c r="AC166" s="1" t="s">
        <v>45</v>
      </c>
      <c r="AD166" s="1" t="s">
        <v>43</v>
      </c>
      <c r="AE166" s="1" t="s">
        <v>43</v>
      </c>
      <c r="AF166" s="1"/>
      <c r="AG166" s="1" t="s">
        <v>43</v>
      </c>
      <c r="AH166" s="2">
        <v>44326</v>
      </c>
    </row>
    <row r="167" spans="1:34" x14ac:dyDescent="0.3">
      <c r="A167" s="1">
        <v>7815906</v>
      </c>
      <c r="B167" s="1">
        <v>15.4</v>
      </c>
      <c r="C167" s="1">
        <v>1099</v>
      </c>
      <c r="D167" s="1">
        <v>1299</v>
      </c>
      <c r="E167" s="1" t="s">
        <v>43</v>
      </c>
      <c r="F167" s="1">
        <v>0</v>
      </c>
      <c r="G167" s="1" t="s">
        <v>811</v>
      </c>
      <c r="H167" s="1" t="s">
        <v>812</v>
      </c>
      <c r="I167" s="1" t="str">
        <f>HYPERLINK("https://www.systembolaget.se/produkt/vin/wehlener-sonnenuhr-kabinett-7815906/","https://www.systembolaget.se/produkt/vin/wehlener-sonnenuhr-kabinett-7815906/")</f>
        <v>https://www.systembolaget.se/produkt/vin/wehlener-sonnenuhr-kabinett-7815906/</v>
      </c>
      <c r="J167" s="1"/>
      <c r="K167" s="1">
        <v>15.4</v>
      </c>
      <c r="L167" s="2">
        <v>45994</v>
      </c>
      <c r="M167" s="1" t="s">
        <v>813</v>
      </c>
      <c r="N167" s="1">
        <v>0.12</v>
      </c>
      <c r="O167" s="1">
        <v>1500</v>
      </c>
      <c r="P167" s="1">
        <v>8.5</v>
      </c>
      <c r="Q167" s="1" t="s">
        <v>38</v>
      </c>
      <c r="R167" s="1" t="s">
        <v>39</v>
      </c>
      <c r="S167" s="1"/>
      <c r="T167" s="1"/>
      <c r="U167" s="1" t="s">
        <v>119</v>
      </c>
      <c r="V167" s="1" t="s">
        <v>814</v>
      </c>
      <c r="W167" s="1"/>
      <c r="X167" s="1" t="s">
        <v>815</v>
      </c>
      <c r="Y167" s="1" t="s">
        <v>678</v>
      </c>
      <c r="Z167" s="1" t="s">
        <v>43</v>
      </c>
      <c r="AA167" s="1">
        <v>2023</v>
      </c>
      <c r="AB167" s="1" t="s">
        <v>77</v>
      </c>
      <c r="AC167" s="1" t="s">
        <v>45</v>
      </c>
      <c r="AD167" s="1" t="s">
        <v>43</v>
      </c>
      <c r="AE167" s="1" t="s">
        <v>43</v>
      </c>
      <c r="AF167" s="1"/>
      <c r="AG167" s="1" t="s">
        <v>43</v>
      </c>
      <c r="AH167" s="2">
        <v>46001</v>
      </c>
    </row>
    <row r="168" spans="1:34" x14ac:dyDescent="0.3">
      <c r="A168" s="1">
        <v>5112501</v>
      </c>
      <c r="B168" s="1">
        <v>15.38</v>
      </c>
      <c r="C168" s="1">
        <v>550</v>
      </c>
      <c r="D168" s="1">
        <v>650</v>
      </c>
      <c r="E168" s="1" t="s">
        <v>43</v>
      </c>
      <c r="F168" s="1">
        <v>6</v>
      </c>
      <c r="G168" s="1" t="s">
        <v>816</v>
      </c>
      <c r="H168" s="1" t="s">
        <v>817</v>
      </c>
      <c r="I168" s="1" t="str">
        <f>HYPERLINK("https://www.systembolaget.se/produkt/vin/annonce-5112501/","https://www.systembolaget.se/produkt/vin/annonce-5112501/")</f>
        <v>https://www.systembolaget.se/produkt/vin/annonce-5112501/</v>
      </c>
      <c r="J168" s="1">
        <v>38.06</v>
      </c>
      <c r="K168" s="1">
        <v>15.38</v>
      </c>
      <c r="L168" s="2">
        <v>45509</v>
      </c>
      <c r="M168" s="1" t="s">
        <v>818</v>
      </c>
      <c r="N168" s="1">
        <v>0.2</v>
      </c>
      <c r="O168" s="1">
        <v>750</v>
      </c>
      <c r="P168" s="1">
        <v>14.5</v>
      </c>
      <c r="Q168" s="1" t="s">
        <v>38</v>
      </c>
      <c r="R168" s="1" t="s">
        <v>52</v>
      </c>
      <c r="S168" s="1"/>
      <c r="T168" s="1"/>
      <c r="U168" s="1" t="s">
        <v>101</v>
      </c>
      <c r="V168" s="1" t="s">
        <v>371</v>
      </c>
      <c r="W168" s="1" t="s">
        <v>819</v>
      </c>
      <c r="X168" s="1" t="s">
        <v>373</v>
      </c>
      <c r="Y168" s="1" t="s">
        <v>374</v>
      </c>
      <c r="Z168" s="1" t="s">
        <v>43</v>
      </c>
      <c r="AA168" s="1">
        <v>2016</v>
      </c>
      <c r="AB168" s="1" t="s">
        <v>44</v>
      </c>
      <c r="AC168" s="1" t="s">
        <v>45</v>
      </c>
      <c r="AD168" s="1" t="s">
        <v>43</v>
      </c>
      <c r="AE168" s="1" t="s">
        <v>43</v>
      </c>
      <c r="AF168" s="1"/>
      <c r="AG168" s="1" t="s">
        <v>43</v>
      </c>
      <c r="AH168" s="2">
        <v>44265</v>
      </c>
    </row>
    <row r="169" spans="1:34" x14ac:dyDescent="0.3">
      <c r="A169" s="1">
        <v>7448501</v>
      </c>
      <c r="B169" s="1">
        <v>15.2</v>
      </c>
      <c r="C169" s="1">
        <v>279</v>
      </c>
      <c r="D169" s="1">
        <v>329</v>
      </c>
      <c r="E169" s="1" t="s">
        <v>43</v>
      </c>
      <c r="F169" s="1">
        <v>0</v>
      </c>
      <c r="G169" s="1" t="s">
        <v>820</v>
      </c>
      <c r="H169" s="1" t="s">
        <v>821</v>
      </c>
      <c r="I169" s="1" t="str">
        <f>HYPERLINK("https://www.systembolaget.se/produkt/vin/biograf-syrah-the-bench-vineyard-7448501/","https://www.systembolaget.se/produkt/vin/biograf-syrah-the-bench-vineyard-7448501/")</f>
        <v>https://www.systembolaget.se/produkt/vin/biograf-syrah-the-bench-vineyard-7448501/</v>
      </c>
      <c r="J169" s="1">
        <v>20.059999999999999</v>
      </c>
      <c r="K169" s="1">
        <v>15.2</v>
      </c>
      <c r="L169" s="2">
        <v>45700</v>
      </c>
      <c r="M169" s="1" t="s">
        <v>822</v>
      </c>
      <c r="N169" s="1">
        <v>0.39</v>
      </c>
      <c r="O169" s="1">
        <v>750</v>
      </c>
      <c r="P169" s="1">
        <v>14.5</v>
      </c>
      <c r="Q169" s="1" t="s">
        <v>38</v>
      </c>
      <c r="R169" s="1" t="s">
        <v>52</v>
      </c>
      <c r="S169" s="1"/>
      <c r="T169" s="1"/>
      <c r="U169" s="1" t="s">
        <v>73</v>
      </c>
      <c r="V169" s="1"/>
      <c r="W169" s="1"/>
      <c r="X169" s="1" t="s">
        <v>823</v>
      </c>
      <c r="Y169" s="1" t="s">
        <v>407</v>
      </c>
      <c r="Z169" s="1" t="s">
        <v>43</v>
      </c>
      <c r="AA169" s="1">
        <v>2023</v>
      </c>
      <c r="AB169" s="1" t="s">
        <v>44</v>
      </c>
      <c r="AC169" s="1" t="s">
        <v>45</v>
      </c>
      <c r="AD169" s="1" t="s">
        <v>43</v>
      </c>
      <c r="AE169" s="1" t="s">
        <v>43</v>
      </c>
      <c r="AF169" s="1"/>
      <c r="AG169" s="1" t="s">
        <v>43</v>
      </c>
      <c r="AH169" s="2">
        <v>45707</v>
      </c>
    </row>
    <row r="170" spans="1:34" x14ac:dyDescent="0.3">
      <c r="A170" s="1">
        <v>7004401</v>
      </c>
      <c r="B170" s="1">
        <v>15.2</v>
      </c>
      <c r="C170" s="1">
        <v>279</v>
      </c>
      <c r="D170" s="1">
        <v>329</v>
      </c>
      <c r="E170" s="1" t="s">
        <v>43</v>
      </c>
      <c r="F170" s="1">
        <v>0</v>
      </c>
      <c r="G170" s="1" t="s">
        <v>824</v>
      </c>
      <c r="H170" s="1" t="s">
        <v>821</v>
      </c>
      <c r="I170" s="1" t="str">
        <f>HYPERLINK("https://www.systembolaget.se/produkt/vin/milk-fed-pinot-noir-yf2-vineyard-7004401/","https://www.systembolaget.se/produkt/vin/milk-fed-pinot-noir-yf2-vineyard-7004401/")</f>
        <v>https://www.systembolaget.se/produkt/vin/milk-fed-pinot-noir-yf2-vineyard-7004401/</v>
      </c>
      <c r="J170" s="1">
        <v>15.2</v>
      </c>
      <c r="K170" s="1">
        <v>15.2</v>
      </c>
      <c r="L170" s="2">
        <v>45700</v>
      </c>
      <c r="M170" s="1" t="s">
        <v>825</v>
      </c>
      <c r="N170" s="1">
        <v>0.36</v>
      </c>
      <c r="O170" s="1">
        <v>750</v>
      </c>
      <c r="P170" s="1">
        <v>13.5</v>
      </c>
      <c r="Q170" s="1" t="s">
        <v>38</v>
      </c>
      <c r="R170" s="1" t="s">
        <v>52</v>
      </c>
      <c r="S170" s="1"/>
      <c r="T170" s="1"/>
      <c r="U170" s="1" t="s">
        <v>73</v>
      </c>
      <c r="V170" s="1"/>
      <c r="W170" s="1"/>
      <c r="X170" s="1" t="s">
        <v>823</v>
      </c>
      <c r="Y170" s="1" t="s">
        <v>407</v>
      </c>
      <c r="Z170" s="1" t="s">
        <v>43</v>
      </c>
      <c r="AA170" s="1">
        <v>2023</v>
      </c>
      <c r="AB170" s="1" t="s">
        <v>44</v>
      </c>
      <c r="AC170" s="1" t="s">
        <v>45</v>
      </c>
      <c r="AD170" s="1" t="s">
        <v>43</v>
      </c>
      <c r="AE170" s="1" t="s">
        <v>43</v>
      </c>
      <c r="AF170" s="1"/>
      <c r="AG170" s="1" t="s">
        <v>43</v>
      </c>
      <c r="AH170" s="2">
        <v>45707</v>
      </c>
    </row>
    <row r="171" spans="1:34" x14ac:dyDescent="0.3">
      <c r="A171" s="1">
        <v>8488901</v>
      </c>
      <c r="B171" s="1">
        <v>15.02</v>
      </c>
      <c r="C171" s="1">
        <v>849</v>
      </c>
      <c r="D171" s="1">
        <v>999</v>
      </c>
      <c r="E171" s="1" t="s">
        <v>43</v>
      </c>
      <c r="F171" s="1">
        <v>0</v>
      </c>
      <c r="G171" s="1" t="s">
        <v>803</v>
      </c>
      <c r="H171" s="1" t="s">
        <v>826</v>
      </c>
      <c r="I171" s="1" t="str">
        <f>HYPERLINK("https://www.systembolaget.se/produkt/sprit/nc-nean-distillery-8488901/","https://www.systembolaget.se/produkt/sprit/nc-nean-distillery-8488901/")</f>
        <v>https://www.systembolaget.se/produkt/sprit/nc-nean-distillery-8488901/</v>
      </c>
      <c r="J171" s="1">
        <v>29.19</v>
      </c>
      <c r="K171" s="1">
        <v>15.02</v>
      </c>
      <c r="L171" s="2">
        <v>45586</v>
      </c>
      <c r="M171" s="1" t="s">
        <v>827</v>
      </c>
      <c r="N171" s="1">
        <v>0.4</v>
      </c>
      <c r="O171" s="1">
        <v>700</v>
      </c>
      <c r="P171" s="1">
        <v>48.5</v>
      </c>
      <c r="Q171" s="1" t="s">
        <v>308</v>
      </c>
      <c r="R171" s="1" t="s">
        <v>309</v>
      </c>
      <c r="S171" s="1" t="s">
        <v>318</v>
      </c>
      <c r="T171" s="1"/>
      <c r="U171" s="1" t="s">
        <v>253</v>
      </c>
      <c r="V171" s="1"/>
      <c r="W171" s="1"/>
      <c r="X171" s="1" t="s">
        <v>803</v>
      </c>
      <c r="Y171" s="1" t="s">
        <v>256</v>
      </c>
      <c r="Z171" s="1" t="s">
        <v>46</v>
      </c>
      <c r="AA171" s="1"/>
      <c r="AB171" s="1" t="s">
        <v>44</v>
      </c>
      <c r="AC171" s="1" t="s">
        <v>45</v>
      </c>
      <c r="AD171" s="1" t="s">
        <v>43</v>
      </c>
      <c r="AE171" s="1" t="s">
        <v>43</v>
      </c>
      <c r="AF171" s="1"/>
      <c r="AG171" s="1" t="s">
        <v>43</v>
      </c>
      <c r="AH171" s="2">
        <v>45593</v>
      </c>
    </row>
    <row r="172" spans="1:34" x14ac:dyDescent="0.3">
      <c r="A172" s="1">
        <v>172015</v>
      </c>
      <c r="B172" s="1">
        <v>14.87</v>
      </c>
      <c r="C172" s="1">
        <v>22.9</v>
      </c>
      <c r="D172" s="1">
        <v>26.9</v>
      </c>
      <c r="E172" s="1" t="s">
        <v>43</v>
      </c>
      <c r="F172" s="1">
        <v>0</v>
      </c>
      <c r="G172" s="1" t="s">
        <v>828</v>
      </c>
      <c r="H172" s="1" t="s">
        <v>829</v>
      </c>
      <c r="I172" s="1" t="str">
        <f>HYPERLINK("https://www.systembolaget.se/produkt/ol/green-flash-172015/","https://www.systembolaget.se/produkt/ol/green-flash-172015/")</f>
        <v>https://www.systembolaget.se/produkt/ol/green-flash-172015/</v>
      </c>
      <c r="J172" s="1">
        <v>14.87</v>
      </c>
      <c r="K172" s="1">
        <v>14.87</v>
      </c>
      <c r="L172" s="2">
        <v>45880</v>
      </c>
      <c r="M172" s="1" t="s">
        <v>830</v>
      </c>
      <c r="N172" s="1">
        <v>1.0900000000000001</v>
      </c>
      <c r="O172" s="1">
        <v>355</v>
      </c>
      <c r="P172" s="1">
        <v>7</v>
      </c>
      <c r="Q172" s="1" t="s">
        <v>107</v>
      </c>
      <c r="R172" s="1" t="s">
        <v>108</v>
      </c>
      <c r="S172" s="1" t="s">
        <v>790</v>
      </c>
      <c r="T172" s="1"/>
      <c r="U172" s="1" t="s">
        <v>73</v>
      </c>
      <c r="V172" s="1"/>
      <c r="W172" s="1"/>
      <c r="X172" s="1" t="s">
        <v>831</v>
      </c>
      <c r="Y172" s="1" t="s">
        <v>832</v>
      </c>
      <c r="Z172" s="1" t="s">
        <v>43</v>
      </c>
      <c r="AA172" s="1"/>
      <c r="AB172" s="1" t="s">
        <v>114</v>
      </c>
      <c r="AC172" s="1" t="s">
        <v>90</v>
      </c>
      <c r="AD172" s="1" t="s">
        <v>43</v>
      </c>
      <c r="AE172" s="1" t="s">
        <v>43</v>
      </c>
      <c r="AF172" s="1"/>
      <c r="AG172" s="1" t="s">
        <v>43</v>
      </c>
      <c r="AH172" s="2">
        <v>45901</v>
      </c>
    </row>
    <row r="173" spans="1:34" x14ac:dyDescent="0.3">
      <c r="A173" s="1">
        <v>3615303</v>
      </c>
      <c r="B173" s="1">
        <v>14.57</v>
      </c>
      <c r="C173" s="1">
        <v>29.9</v>
      </c>
      <c r="D173" s="1">
        <v>35</v>
      </c>
      <c r="E173" s="1" t="s">
        <v>43</v>
      </c>
      <c r="F173" s="1">
        <v>0</v>
      </c>
      <c r="G173" s="1" t="s">
        <v>833</v>
      </c>
      <c r="H173" s="1" t="s">
        <v>834</v>
      </c>
      <c r="I173" s="1" t="str">
        <f>HYPERLINK("https://www.systembolaget.se/produkt/ol/roslagens-3615303/","https://www.systembolaget.se/produkt/ol/roslagens-3615303/")</f>
        <v>https://www.systembolaget.se/produkt/ol/roslagens-3615303/</v>
      </c>
      <c r="J173" s="1">
        <v>14.33</v>
      </c>
      <c r="K173" s="1">
        <v>14.57</v>
      </c>
      <c r="L173" s="2">
        <v>45398</v>
      </c>
      <c r="M173" s="1" t="s">
        <v>835</v>
      </c>
      <c r="N173" s="1">
        <v>0.56999999999999995</v>
      </c>
      <c r="O173" s="1">
        <v>330</v>
      </c>
      <c r="P173" s="1">
        <v>5.2</v>
      </c>
      <c r="Q173" s="1" t="s">
        <v>107</v>
      </c>
      <c r="R173" s="1" t="s">
        <v>108</v>
      </c>
      <c r="S173" s="1" t="s">
        <v>836</v>
      </c>
      <c r="T173" s="1"/>
      <c r="U173" s="1" t="s">
        <v>110</v>
      </c>
      <c r="V173" s="1" t="s">
        <v>380</v>
      </c>
      <c r="W173" s="1" t="s">
        <v>837</v>
      </c>
      <c r="X173" s="1" t="s">
        <v>838</v>
      </c>
      <c r="Y173" s="1" t="s">
        <v>839</v>
      </c>
      <c r="Z173" s="1" t="s">
        <v>43</v>
      </c>
      <c r="AA173" s="1"/>
      <c r="AB173" s="1" t="s">
        <v>44</v>
      </c>
      <c r="AC173" s="1" t="s">
        <v>115</v>
      </c>
      <c r="AD173" s="1" t="s">
        <v>43</v>
      </c>
      <c r="AE173" s="1" t="s">
        <v>43</v>
      </c>
      <c r="AF173" s="1"/>
      <c r="AG173" s="1" t="s">
        <v>43</v>
      </c>
      <c r="AH173" s="2">
        <v>46146</v>
      </c>
    </row>
    <row r="174" spans="1:34" x14ac:dyDescent="0.3">
      <c r="A174" s="1">
        <v>7316801</v>
      </c>
      <c r="B174" s="1">
        <v>14.57</v>
      </c>
      <c r="C174" s="1">
        <v>299</v>
      </c>
      <c r="D174" s="1">
        <v>350</v>
      </c>
      <c r="E174" s="1" t="s">
        <v>43</v>
      </c>
      <c r="F174" s="1">
        <v>0</v>
      </c>
      <c r="G174" s="1" t="s">
        <v>840</v>
      </c>
      <c r="H174" s="1" t="s">
        <v>841</v>
      </c>
      <c r="I174" s="1" t="str">
        <f>HYPERLINK("https://www.systembolaget.se/produkt/vin/baron-fuente-7316801/","https://www.systembolaget.se/produkt/vin/baron-fuente-7316801/")</f>
        <v>https://www.systembolaget.se/produkt/vin/baron-fuente-7316801/</v>
      </c>
      <c r="J174" s="1">
        <v>14.33</v>
      </c>
      <c r="K174" s="1">
        <v>14.57</v>
      </c>
      <c r="L174" s="2">
        <v>45439</v>
      </c>
      <c r="M174" s="1" t="s">
        <v>842</v>
      </c>
      <c r="N174" s="1">
        <v>0.31</v>
      </c>
      <c r="O174" s="1">
        <v>750</v>
      </c>
      <c r="P174" s="1">
        <v>12.5</v>
      </c>
      <c r="Q174" s="1" t="s">
        <v>38</v>
      </c>
      <c r="R174" s="1" t="s">
        <v>61</v>
      </c>
      <c r="S174" s="1" t="s">
        <v>68</v>
      </c>
      <c r="T174" s="1"/>
      <c r="U174" s="1" t="s">
        <v>101</v>
      </c>
      <c r="V174" s="1" t="s">
        <v>346</v>
      </c>
      <c r="W174" s="1"/>
      <c r="X174" s="1" t="s">
        <v>843</v>
      </c>
      <c r="Y174" s="1" t="s">
        <v>239</v>
      </c>
      <c r="Z174" s="1" t="s">
        <v>46</v>
      </c>
      <c r="AA174" s="1"/>
      <c r="AB174" s="1" t="s">
        <v>44</v>
      </c>
      <c r="AC174" s="1" t="s">
        <v>45</v>
      </c>
      <c r="AD174" s="1" t="s">
        <v>43</v>
      </c>
      <c r="AE174" s="1" t="s">
        <v>43</v>
      </c>
      <c r="AF174" s="1"/>
      <c r="AG174" s="1" t="s">
        <v>43</v>
      </c>
      <c r="AH174" s="2">
        <v>45446</v>
      </c>
    </row>
    <row r="175" spans="1:34" x14ac:dyDescent="0.3">
      <c r="A175" s="1">
        <v>3442534</v>
      </c>
      <c r="B175" s="1">
        <v>14.49</v>
      </c>
      <c r="C175" s="1">
        <v>59</v>
      </c>
      <c r="D175" s="1">
        <v>69</v>
      </c>
      <c r="E175" s="1" t="s">
        <v>43</v>
      </c>
      <c r="F175" s="1">
        <v>0</v>
      </c>
      <c r="G175" s="1" t="s">
        <v>844</v>
      </c>
      <c r="H175" s="1" t="s">
        <v>845</v>
      </c>
      <c r="I175" s="1" t="str">
        <f>HYPERLINK("https://www.systembolaget.se/produkt/ol/smith-street-3442534/","https://www.systembolaget.se/produkt/ol/smith-street-3442534/")</f>
        <v>https://www.systembolaget.se/produkt/ol/smith-street-3442534/</v>
      </c>
      <c r="J175" s="1"/>
      <c r="K175" s="1">
        <v>14.49</v>
      </c>
      <c r="L175" s="2">
        <v>46104</v>
      </c>
      <c r="M175" s="1" t="s">
        <v>846</v>
      </c>
      <c r="N175" s="1">
        <v>0.6</v>
      </c>
      <c r="O175" s="1">
        <v>440</v>
      </c>
      <c r="P175" s="1">
        <v>8</v>
      </c>
      <c r="Q175" s="1" t="s">
        <v>107</v>
      </c>
      <c r="R175" s="1" t="s">
        <v>108</v>
      </c>
      <c r="S175" s="1" t="s">
        <v>532</v>
      </c>
      <c r="T175" s="1"/>
      <c r="U175" s="1" t="s">
        <v>110</v>
      </c>
      <c r="V175" s="1" t="s">
        <v>469</v>
      </c>
      <c r="W175" s="1" t="s">
        <v>470</v>
      </c>
      <c r="X175" s="1" t="s">
        <v>466</v>
      </c>
      <c r="Y175" s="1" t="s">
        <v>471</v>
      </c>
      <c r="Z175" s="1" t="s">
        <v>43</v>
      </c>
      <c r="AA175" s="1"/>
      <c r="AB175" s="1" t="s">
        <v>114</v>
      </c>
      <c r="AC175" s="1" t="s">
        <v>115</v>
      </c>
      <c r="AD175" s="1" t="s">
        <v>43</v>
      </c>
      <c r="AE175" s="1" t="s">
        <v>43</v>
      </c>
      <c r="AF175" s="1"/>
      <c r="AG175" s="1" t="s">
        <v>43</v>
      </c>
      <c r="AH175" s="2">
        <v>46125</v>
      </c>
    </row>
    <row r="176" spans="1:34" x14ac:dyDescent="0.3">
      <c r="A176" s="1">
        <v>3425134</v>
      </c>
      <c r="B176" s="1">
        <v>14.49</v>
      </c>
      <c r="C176" s="1">
        <v>59</v>
      </c>
      <c r="D176" s="1">
        <v>69</v>
      </c>
      <c r="E176" s="1" t="s">
        <v>43</v>
      </c>
      <c r="F176" s="1">
        <v>0</v>
      </c>
      <c r="G176" s="1" t="s">
        <v>844</v>
      </c>
      <c r="H176" s="1" t="s">
        <v>847</v>
      </c>
      <c r="I176" s="1" t="str">
        <f>HYPERLINK("https://www.systembolaget.se/produkt/ol/smith-street-3425134/","https://www.systembolaget.se/produkt/ol/smith-street-3425134/")</f>
        <v>https://www.systembolaget.se/produkt/ol/smith-street-3425134/</v>
      </c>
      <c r="J176" s="1"/>
      <c r="K176" s="1">
        <v>14.49</v>
      </c>
      <c r="L176" s="2">
        <v>46104</v>
      </c>
      <c r="M176" s="1" t="s">
        <v>846</v>
      </c>
      <c r="N176" s="1">
        <v>0.6</v>
      </c>
      <c r="O176" s="1">
        <v>440</v>
      </c>
      <c r="P176" s="1">
        <v>8</v>
      </c>
      <c r="Q176" s="1" t="s">
        <v>107</v>
      </c>
      <c r="R176" s="1" t="s">
        <v>108</v>
      </c>
      <c r="S176" s="1" t="s">
        <v>532</v>
      </c>
      <c r="T176" s="1"/>
      <c r="U176" s="1" t="s">
        <v>110</v>
      </c>
      <c r="V176" s="1" t="s">
        <v>469</v>
      </c>
      <c r="W176" s="1" t="s">
        <v>470</v>
      </c>
      <c r="X176" s="1" t="s">
        <v>466</v>
      </c>
      <c r="Y176" s="1" t="s">
        <v>471</v>
      </c>
      <c r="Z176" s="1" t="s">
        <v>43</v>
      </c>
      <c r="AA176" s="1"/>
      <c r="AB176" s="1" t="s">
        <v>114</v>
      </c>
      <c r="AC176" s="1" t="s">
        <v>115</v>
      </c>
      <c r="AD176" s="1" t="s">
        <v>43</v>
      </c>
      <c r="AE176" s="1" t="s">
        <v>43</v>
      </c>
      <c r="AF176" s="1"/>
      <c r="AG176" s="1" t="s">
        <v>43</v>
      </c>
      <c r="AH176" s="2">
        <v>46125</v>
      </c>
    </row>
    <row r="177" spans="1:34" x14ac:dyDescent="0.3">
      <c r="A177" s="1">
        <v>207901</v>
      </c>
      <c r="B177" s="1">
        <v>14.49</v>
      </c>
      <c r="C177" s="1">
        <v>59</v>
      </c>
      <c r="D177" s="1">
        <v>69</v>
      </c>
      <c r="E177" s="1" t="s">
        <v>43</v>
      </c>
      <c r="F177" s="1">
        <v>0</v>
      </c>
      <c r="G177" s="1" t="s">
        <v>848</v>
      </c>
      <c r="H177" s="1" t="s">
        <v>849</v>
      </c>
      <c r="I177" s="1" t="str">
        <f>HYPERLINK("https://www.systembolaget.se/produkt/vin/indomita-207901/","https://www.systembolaget.se/produkt/vin/indomita-207901/")</f>
        <v>https://www.systembolaget.se/produkt/vin/indomita-207901/</v>
      </c>
      <c r="J177" s="1">
        <v>21.33</v>
      </c>
      <c r="K177" s="1">
        <v>14.49</v>
      </c>
      <c r="L177" s="2">
        <v>45533</v>
      </c>
      <c r="M177" s="1" t="s">
        <v>850</v>
      </c>
      <c r="N177" s="1">
        <v>1.59</v>
      </c>
      <c r="O177" s="1">
        <v>750</v>
      </c>
      <c r="P177" s="1">
        <v>12.5</v>
      </c>
      <c r="Q177" s="1" t="s">
        <v>38</v>
      </c>
      <c r="R177" s="1" t="s">
        <v>39</v>
      </c>
      <c r="S177" s="1" t="s">
        <v>184</v>
      </c>
      <c r="T177" s="1"/>
      <c r="U177" s="1" t="s">
        <v>360</v>
      </c>
      <c r="V177" s="1" t="s">
        <v>504</v>
      </c>
      <c r="W177" s="1"/>
      <c r="X177" s="1" t="s">
        <v>851</v>
      </c>
      <c r="Y177" s="1" t="s">
        <v>153</v>
      </c>
      <c r="Z177" s="1" t="s">
        <v>43</v>
      </c>
      <c r="AA177" s="1">
        <v>2023</v>
      </c>
      <c r="AB177" s="1" t="s">
        <v>77</v>
      </c>
      <c r="AC177" s="1" t="s">
        <v>45</v>
      </c>
      <c r="AD177" s="1" t="s">
        <v>43</v>
      </c>
      <c r="AE177" s="1" t="s">
        <v>43</v>
      </c>
      <c r="AF177" s="1">
        <v>4</v>
      </c>
      <c r="AG177" s="1" t="s">
        <v>43</v>
      </c>
      <c r="AH177" s="2">
        <v>40634</v>
      </c>
    </row>
    <row r="178" spans="1:34" x14ac:dyDescent="0.3">
      <c r="A178" s="1">
        <v>5289101</v>
      </c>
      <c r="B178" s="1">
        <v>14.48</v>
      </c>
      <c r="C178" s="1">
        <v>898</v>
      </c>
      <c r="D178" s="1">
        <v>1050</v>
      </c>
      <c r="E178" s="1" t="s">
        <v>43</v>
      </c>
      <c r="F178" s="1">
        <v>0</v>
      </c>
      <c r="G178" s="1" t="s">
        <v>852</v>
      </c>
      <c r="H178" s="1" t="s">
        <v>853</v>
      </c>
      <c r="I178" s="1" t="str">
        <f>HYPERLINK("https://www.systembolaget.se/produkt/sprit/amahagan-5289101/","https://www.systembolaget.se/produkt/sprit/amahagan-5289101/")</f>
        <v>https://www.systembolaget.se/produkt/sprit/amahagan-5289101/</v>
      </c>
      <c r="J178" s="1">
        <v>14.31</v>
      </c>
      <c r="K178" s="1">
        <v>14.48</v>
      </c>
      <c r="L178" s="2">
        <v>45389</v>
      </c>
      <c r="M178" s="1" t="s">
        <v>854</v>
      </c>
      <c r="N178" s="1">
        <v>0.37</v>
      </c>
      <c r="O178" s="1">
        <v>700</v>
      </c>
      <c r="P178" s="1">
        <v>47</v>
      </c>
      <c r="Q178" s="1" t="s">
        <v>308</v>
      </c>
      <c r="R178" s="1" t="s">
        <v>309</v>
      </c>
      <c r="S178" s="1" t="s">
        <v>318</v>
      </c>
      <c r="T178" s="1"/>
      <c r="U178" s="1" t="s">
        <v>855</v>
      </c>
      <c r="V178" s="1"/>
      <c r="W178" s="1"/>
      <c r="X178" s="1" t="s">
        <v>856</v>
      </c>
      <c r="Y178" s="1" t="s">
        <v>857</v>
      </c>
      <c r="Z178" s="1" t="s">
        <v>43</v>
      </c>
      <c r="AA178" s="1"/>
      <c r="AB178" s="1" t="s">
        <v>44</v>
      </c>
      <c r="AC178" s="1" t="s">
        <v>45</v>
      </c>
      <c r="AD178" s="1" t="s">
        <v>43</v>
      </c>
      <c r="AE178" s="1" t="s">
        <v>43</v>
      </c>
      <c r="AF178" s="1"/>
      <c r="AG178" s="1" t="s">
        <v>43</v>
      </c>
      <c r="AH178" s="2">
        <v>44389</v>
      </c>
    </row>
    <row r="179" spans="1:34" x14ac:dyDescent="0.3">
      <c r="A179" s="1">
        <v>7150901</v>
      </c>
      <c r="B179" s="1">
        <v>14.39</v>
      </c>
      <c r="C179" s="1">
        <v>119</v>
      </c>
      <c r="D179" s="1">
        <v>139</v>
      </c>
      <c r="E179" s="1" t="s">
        <v>43</v>
      </c>
      <c r="F179" s="1">
        <v>0</v>
      </c>
      <c r="G179" s="1" t="s">
        <v>858</v>
      </c>
      <c r="H179" s="1" t="s">
        <v>752</v>
      </c>
      <c r="I179" s="1" t="str">
        <f>HYPERLINK("https://www.systembolaget.se/produkt/vin/cluster-flock-sauvignon-blanc-7150901/","https://www.systembolaget.se/produkt/vin/cluster-flock-sauvignon-blanc-7150901/")</f>
        <v>https://www.systembolaget.se/produkt/vin/cluster-flock-sauvignon-blanc-7150901/</v>
      </c>
      <c r="J179" s="1">
        <v>14.39</v>
      </c>
      <c r="K179" s="1">
        <v>14.39</v>
      </c>
      <c r="L179" s="2">
        <v>45915</v>
      </c>
      <c r="M179" s="1" t="s">
        <v>859</v>
      </c>
      <c r="N179" s="1">
        <v>0.76</v>
      </c>
      <c r="O179" s="1">
        <v>750</v>
      </c>
      <c r="P179" s="1">
        <v>12</v>
      </c>
      <c r="Q179" s="1" t="s">
        <v>38</v>
      </c>
      <c r="R179" s="1" t="s">
        <v>39</v>
      </c>
      <c r="S179" s="1"/>
      <c r="T179" s="1"/>
      <c r="U179" s="1" t="s">
        <v>387</v>
      </c>
      <c r="V179" s="1" t="s">
        <v>421</v>
      </c>
      <c r="W179" s="1"/>
      <c r="X179" s="1" t="s">
        <v>752</v>
      </c>
      <c r="Y179" s="1" t="s">
        <v>754</v>
      </c>
      <c r="Z179" s="1" t="s">
        <v>43</v>
      </c>
      <c r="AA179" s="1">
        <v>2023</v>
      </c>
      <c r="AB179" s="1" t="s">
        <v>77</v>
      </c>
      <c r="AC179" s="1" t="s">
        <v>45</v>
      </c>
      <c r="AD179" s="1" t="s">
        <v>43</v>
      </c>
      <c r="AE179" s="1" t="s">
        <v>43</v>
      </c>
      <c r="AF179" s="1"/>
      <c r="AG179" s="1" t="s">
        <v>43</v>
      </c>
      <c r="AH179" s="2">
        <v>45922</v>
      </c>
    </row>
    <row r="180" spans="1:34" x14ac:dyDescent="0.3">
      <c r="A180" s="1">
        <v>7414601</v>
      </c>
      <c r="B180" s="1">
        <v>14.39</v>
      </c>
      <c r="C180" s="1">
        <v>119</v>
      </c>
      <c r="D180" s="1">
        <v>139</v>
      </c>
      <c r="E180" s="1" t="s">
        <v>43</v>
      </c>
      <c r="F180" s="1">
        <v>0</v>
      </c>
      <c r="G180" s="1" t="s">
        <v>860</v>
      </c>
      <c r="H180" s="1" t="s">
        <v>861</v>
      </c>
      <c r="I180" s="1" t="str">
        <f>HYPERLINK("https://www.systembolaget.se/produkt/vin/fritz-walter-7414601/","https://www.systembolaget.se/produkt/vin/fritz-walter-7414601/")</f>
        <v>https://www.systembolaget.se/produkt/vin/fritz-walter-7414601/</v>
      </c>
      <c r="J180" s="1">
        <v>14.39</v>
      </c>
      <c r="K180" s="1">
        <v>14.39</v>
      </c>
      <c r="L180" s="2">
        <v>45418</v>
      </c>
      <c r="M180" s="1" t="s">
        <v>862</v>
      </c>
      <c r="N180" s="1">
        <v>0.79</v>
      </c>
      <c r="O180" s="1">
        <v>750</v>
      </c>
      <c r="P180" s="1">
        <v>12.5</v>
      </c>
      <c r="Q180" s="1" t="s">
        <v>38</v>
      </c>
      <c r="R180" s="1" t="s">
        <v>39</v>
      </c>
      <c r="S180" s="1"/>
      <c r="T180" s="1"/>
      <c r="U180" s="1" t="s">
        <v>119</v>
      </c>
      <c r="V180" s="1" t="s">
        <v>863</v>
      </c>
      <c r="W180" s="1"/>
      <c r="X180" s="1" t="s">
        <v>864</v>
      </c>
      <c r="Y180" s="1" t="s">
        <v>865</v>
      </c>
      <c r="Z180" s="1" t="s">
        <v>43</v>
      </c>
      <c r="AA180" s="1">
        <v>2021</v>
      </c>
      <c r="AB180" s="1" t="s">
        <v>77</v>
      </c>
      <c r="AC180" s="1" t="s">
        <v>45</v>
      </c>
      <c r="AD180" s="1" t="s">
        <v>43</v>
      </c>
      <c r="AE180" s="1" t="s">
        <v>43</v>
      </c>
      <c r="AF180" s="1"/>
      <c r="AG180" s="1" t="s">
        <v>43</v>
      </c>
      <c r="AH180" s="2">
        <v>45425</v>
      </c>
    </row>
    <row r="181" spans="1:34" x14ac:dyDescent="0.3">
      <c r="A181" s="1">
        <v>5143901</v>
      </c>
      <c r="B181" s="1">
        <v>14.35</v>
      </c>
      <c r="C181" s="1">
        <v>179</v>
      </c>
      <c r="D181" s="1">
        <v>209</v>
      </c>
      <c r="E181" s="1" t="s">
        <v>43</v>
      </c>
      <c r="F181" s="1">
        <v>0</v>
      </c>
      <c r="G181" s="1" t="s">
        <v>866</v>
      </c>
      <c r="H181" s="1" t="s">
        <v>867</v>
      </c>
      <c r="I181" s="1" t="str">
        <f>HYPERLINK("https://www.systembolaget.se/produkt/vin/bosman-5143901/","https://www.systembolaget.se/produkt/vin/bosman-5143901/")</f>
        <v>https://www.systembolaget.se/produkt/vin/bosman-5143901/</v>
      </c>
      <c r="J181" s="1">
        <v>14.35</v>
      </c>
      <c r="K181" s="1">
        <v>14.35</v>
      </c>
      <c r="L181" s="2">
        <v>45389</v>
      </c>
      <c r="M181" s="1" t="s">
        <v>868</v>
      </c>
      <c r="N181" s="1">
        <v>0.61</v>
      </c>
      <c r="O181" s="1">
        <v>750</v>
      </c>
      <c r="P181" s="1">
        <v>14.5</v>
      </c>
      <c r="Q181" s="1" t="s">
        <v>38</v>
      </c>
      <c r="R181" s="1" t="s">
        <v>52</v>
      </c>
      <c r="S181" s="1"/>
      <c r="T181" s="1"/>
      <c r="U181" s="1" t="s">
        <v>289</v>
      </c>
      <c r="V181" s="1" t="s">
        <v>290</v>
      </c>
      <c r="W181" s="1" t="s">
        <v>291</v>
      </c>
      <c r="X181" s="1" t="s">
        <v>869</v>
      </c>
      <c r="Y181" s="1" t="s">
        <v>153</v>
      </c>
      <c r="Z181" s="1" t="s">
        <v>43</v>
      </c>
      <c r="AA181" s="1">
        <v>2020</v>
      </c>
      <c r="AB181" s="1" t="s">
        <v>44</v>
      </c>
      <c r="AC181" s="1" t="s">
        <v>45</v>
      </c>
      <c r="AD181" s="1" t="s">
        <v>43</v>
      </c>
      <c r="AE181" s="1" t="s">
        <v>43</v>
      </c>
      <c r="AF181" s="1"/>
      <c r="AG181" s="1" t="s">
        <v>43</v>
      </c>
      <c r="AH181" s="2">
        <v>44292</v>
      </c>
    </row>
    <row r="182" spans="1:34" x14ac:dyDescent="0.3">
      <c r="A182" s="1">
        <v>3431632</v>
      </c>
      <c r="B182" s="1">
        <v>14.33</v>
      </c>
      <c r="C182" s="1">
        <v>29.9</v>
      </c>
      <c r="D182" s="1">
        <v>34.9</v>
      </c>
      <c r="E182" s="1" t="s">
        <v>43</v>
      </c>
      <c r="F182" s="1">
        <v>0</v>
      </c>
      <c r="G182" s="1" t="s">
        <v>870</v>
      </c>
      <c r="H182" s="1" t="s">
        <v>871</v>
      </c>
      <c r="I182" s="1" t="str">
        <f>HYPERLINK("https://www.systembolaget.se/produkt/ol/goteborgs-nya-bryggeri-3431632/","https://www.systembolaget.se/produkt/ol/goteborgs-nya-bryggeri-3431632/")</f>
        <v>https://www.systembolaget.se/produkt/ol/goteborgs-nya-bryggeri-3431632/</v>
      </c>
      <c r="J182" s="1">
        <v>-0.34</v>
      </c>
      <c r="K182" s="1">
        <v>14.33</v>
      </c>
      <c r="L182" s="2">
        <v>45943</v>
      </c>
      <c r="M182" s="1" t="s">
        <v>872</v>
      </c>
      <c r="N182" s="1">
        <v>0.79</v>
      </c>
      <c r="O182" s="1">
        <v>500</v>
      </c>
      <c r="P182" s="1">
        <v>4.7</v>
      </c>
      <c r="Q182" s="1" t="s">
        <v>107</v>
      </c>
      <c r="R182" s="1" t="s">
        <v>207</v>
      </c>
      <c r="S182" s="1" t="s">
        <v>873</v>
      </c>
      <c r="T182" s="1"/>
      <c r="U182" s="1" t="s">
        <v>110</v>
      </c>
      <c r="V182" s="1" t="s">
        <v>136</v>
      </c>
      <c r="W182" s="1" t="s">
        <v>137</v>
      </c>
      <c r="X182" s="1" t="s">
        <v>870</v>
      </c>
      <c r="Y182" s="1" t="s">
        <v>874</v>
      </c>
      <c r="Z182" s="1" t="s">
        <v>43</v>
      </c>
      <c r="AA182" s="1"/>
      <c r="AB182" s="1" t="s">
        <v>114</v>
      </c>
      <c r="AC182" s="1" t="s">
        <v>115</v>
      </c>
      <c r="AD182" s="1" t="s">
        <v>43</v>
      </c>
      <c r="AE182" s="1" t="s">
        <v>43</v>
      </c>
      <c r="AF182" s="1"/>
      <c r="AG182" s="1" t="s">
        <v>43</v>
      </c>
      <c r="AH182" s="2">
        <v>45964</v>
      </c>
    </row>
    <row r="183" spans="1:34" x14ac:dyDescent="0.3">
      <c r="A183" s="1">
        <v>3349535</v>
      </c>
      <c r="B183" s="1">
        <v>14.33</v>
      </c>
      <c r="C183" s="1">
        <v>29.9</v>
      </c>
      <c r="D183" s="1">
        <v>34.9</v>
      </c>
      <c r="E183" s="1" t="s">
        <v>43</v>
      </c>
      <c r="F183" s="1">
        <v>0</v>
      </c>
      <c r="G183" s="1" t="s">
        <v>875</v>
      </c>
      <c r="H183" s="1" t="s">
        <v>876</v>
      </c>
      <c r="I183" s="1" t="str">
        <f>HYPERLINK("https://www.systembolaget.se/produkt/ol/perfectly-squared-brewing-3349535/","https://www.systembolaget.se/produkt/ol/perfectly-squared-brewing-3349535/")</f>
        <v>https://www.systembolaget.se/produkt/ol/perfectly-squared-brewing-3349535/</v>
      </c>
      <c r="J183" s="1"/>
      <c r="K183" s="1">
        <v>14.33</v>
      </c>
      <c r="L183" s="2">
        <v>46013</v>
      </c>
      <c r="M183" s="1" t="s">
        <v>877</v>
      </c>
      <c r="N183" s="1">
        <v>0.52</v>
      </c>
      <c r="O183" s="1">
        <v>330</v>
      </c>
      <c r="P183" s="1">
        <v>4.7</v>
      </c>
      <c r="Q183" s="1" t="s">
        <v>107</v>
      </c>
      <c r="R183" s="1" t="s">
        <v>207</v>
      </c>
      <c r="S183" s="1" t="s">
        <v>873</v>
      </c>
      <c r="T183" s="1"/>
      <c r="U183" s="1" t="s">
        <v>110</v>
      </c>
      <c r="V183" s="1" t="s">
        <v>694</v>
      </c>
      <c r="W183" s="1" t="s">
        <v>878</v>
      </c>
      <c r="X183" s="1" t="s">
        <v>875</v>
      </c>
      <c r="Y183" s="1" t="s">
        <v>879</v>
      </c>
      <c r="Z183" s="1" t="s">
        <v>43</v>
      </c>
      <c r="AA183" s="1"/>
      <c r="AB183" s="1" t="s">
        <v>114</v>
      </c>
      <c r="AC183" s="1" t="s">
        <v>115</v>
      </c>
      <c r="AD183" s="1" t="s">
        <v>43</v>
      </c>
      <c r="AE183" s="1" t="s">
        <v>43</v>
      </c>
      <c r="AF183" s="1"/>
      <c r="AG183" s="1" t="s">
        <v>43</v>
      </c>
      <c r="AH183" s="2">
        <v>46034</v>
      </c>
    </row>
    <row r="184" spans="1:34" x14ac:dyDescent="0.3">
      <c r="A184" s="1">
        <v>3278901</v>
      </c>
      <c r="B184" s="1">
        <v>14.33</v>
      </c>
      <c r="C184" s="1">
        <v>29.9</v>
      </c>
      <c r="D184" s="1">
        <v>34.9</v>
      </c>
      <c r="E184" s="1" t="s">
        <v>551</v>
      </c>
      <c r="F184" s="1">
        <v>0</v>
      </c>
      <c r="G184" s="1" t="s">
        <v>870</v>
      </c>
      <c r="H184" s="1" t="s">
        <v>880</v>
      </c>
      <c r="I184" s="1" t="str">
        <f>HYPERLINK("https://www.systembolaget.se/produkt/ol/goteborgs-nya-bryggeri-3278901/","https://www.systembolaget.se/produkt/ol/goteborgs-nya-bryggeri-3278901/")</f>
        <v>https://www.systembolaget.se/produkt/ol/goteborgs-nya-bryggeri-3278901/</v>
      </c>
      <c r="J184" s="1">
        <v>9.1199999999999992</v>
      </c>
      <c r="K184" s="1">
        <v>14.33</v>
      </c>
      <c r="L184" s="2">
        <v>45887</v>
      </c>
      <c r="M184" s="1" t="s">
        <v>881</v>
      </c>
      <c r="N184" s="1">
        <v>0.97</v>
      </c>
      <c r="O184" s="1">
        <v>500</v>
      </c>
      <c r="P184" s="1">
        <v>5.8</v>
      </c>
      <c r="Q184" s="1" t="s">
        <v>107</v>
      </c>
      <c r="R184" s="1" t="s">
        <v>247</v>
      </c>
      <c r="S184" s="1" t="s">
        <v>880</v>
      </c>
      <c r="T184" s="1"/>
      <c r="U184" s="1" t="s">
        <v>110</v>
      </c>
      <c r="V184" s="1" t="s">
        <v>136</v>
      </c>
      <c r="W184" s="1" t="s">
        <v>137</v>
      </c>
      <c r="X184" s="1" t="s">
        <v>870</v>
      </c>
      <c r="Y184" s="1" t="s">
        <v>874</v>
      </c>
      <c r="Z184" s="1" t="s">
        <v>43</v>
      </c>
      <c r="AA184" s="1"/>
      <c r="AB184" s="1" t="s">
        <v>882</v>
      </c>
      <c r="AC184" s="1" t="s">
        <v>115</v>
      </c>
      <c r="AD184" s="1" t="s">
        <v>43</v>
      </c>
      <c r="AE184" s="1" t="s">
        <v>43</v>
      </c>
      <c r="AF184" s="1"/>
      <c r="AG184" s="1" t="s">
        <v>43</v>
      </c>
      <c r="AH184" s="2">
        <v>45908</v>
      </c>
    </row>
    <row r="185" spans="1:34" x14ac:dyDescent="0.3">
      <c r="A185" s="1">
        <v>1331212</v>
      </c>
      <c r="B185" s="1">
        <v>14.33</v>
      </c>
      <c r="C185" s="1">
        <v>29.9</v>
      </c>
      <c r="D185" s="1">
        <v>34.9</v>
      </c>
      <c r="E185" s="1" t="s">
        <v>43</v>
      </c>
      <c r="F185" s="1">
        <v>0</v>
      </c>
      <c r="G185" s="1" t="s">
        <v>883</v>
      </c>
      <c r="H185" s="1" t="s">
        <v>884</v>
      </c>
      <c r="I185" s="1" t="str">
        <f>HYPERLINK("https://www.systembolaget.se/produkt/ol/gbg-nya-1331212/","https://www.systembolaget.se/produkt/ol/gbg-nya-1331212/")</f>
        <v>https://www.systembolaget.se/produkt/ol/gbg-nya-1331212/</v>
      </c>
      <c r="J185" s="1">
        <v>14.33</v>
      </c>
      <c r="K185" s="1">
        <v>14.33</v>
      </c>
      <c r="L185" s="2">
        <v>45856</v>
      </c>
      <c r="M185" s="1" t="s">
        <v>877</v>
      </c>
      <c r="N185" s="1">
        <v>0.87</v>
      </c>
      <c r="O185" s="1">
        <v>500</v>
      </c>
      <c r="P185" s="1">
        <v>5.2</v>
      </c>
      <c r="Q185" s="1" t="s">
        <v>107</v>
      </c>
      <c r="R185" s="1" t="s">
        <v>134</v>
      </c>
      <c r="S185" s="1" t="s">
        <v>885</v>
      </c>
      <c r="T185" s="1"/>
      <c r="U185" s="1" t="s">
        <v>110</v>
      </c>
      <c r="V185" s="1" t="s">
        <v>136</v>
      </c>
      <c r="W185" s="1" t="s">
        <v>137</v>
      </c>
      <c r="X185" s="1" t="s">
        <v>870</v>
      </c>
      <c r="Y185" s="1" t="s">
        <v>874</v>
      </c>
      <c r="Z185" s="1" t="s">
        <v>43</v>
      </c>
      <c r="AA185" s="1"/>
      <c r="AB185" s="1" t="s">
        <v>114</v>
      </c>
      <c r="AC185" s="1" t="s">
        <v>115</v>
      </c>
      <c r="AD185" s="1" t="s">
        <v>43</v>
      </c>
      <c r="AE185" s="1" t="s">
        <v>43</v>
      </c>
      <c r="AF185" s="1"/>
      <c r="AG185" s="1" t="s">
        <v>43</v>
      </c>
      <c r="AH185" s="2">
        <v>46125</v>
      </c>
    </row>
    <row r="186" spans="1:34" x14ac:dyDescent="0.3">
      <c r="A186" s="1">
        <v>7764701</v>
      </c>
      <c r="B186" s="1">
        <v>14.33</v>
      </c>
      <c r="C186" s="1">
        <v>299</v>
      </c>
      <c r="D186" s="1">
        <v>349</v>
      </c>
      <c r="E186" s="1" t="s">
        <v>43</v>
      </c>
      <c r="F186" s="1">
        <v>0</v>
      </c>
      <c r="G186" s="1" t="s">
        <v>886</v>
      </c>
      <c r="H186" s="1" t="s">
        <v>887</v>
      </c>
      <c r="I186" s="1" t="str">
        <f>HYPERLINK("https://www.systembolaget.se/produkt/vin/san-salvatore-7764701/","https://www.systembolaget.se/produkt/vin/san-salvatore-7764701/")</f>
        <v>https://www.systembolaget.se/produkt/vin/san-salvatore-7764701/</v>
      </c>
      <c r="J186" s="1">
        <v>14.33</v>
      </c>
      <c r="K186" s="1">
        <v>14.33</v>
      </c>
      <c r="L186" s="2">
        <v>45762</v>
      </c>
      <c r="M186" s="1" t="s">
        <v>888</v>
      </c>
      <c r="N186" s="1">
        <v>0.35</v>
      </c>
      <c r="O186" s="1">
        <v>750</v>
      </c>
      <c r="P186" s="1">
        <v>14</v>
      </c>
      <c r="Q186" s="1" t="s">
        <v>38</v>
      </c>
      <c r="R186" s="1" t="s">
        <v>39</v>
      </c>
      <c r="S186" s="1"/>
      <c r="T186" s="1"/>
      <c r="U186" s="1" t="s">
        <v>53</v>
      </c>
      <c r="V186" s="1"/>
      <c r="W186" s="1"/>
      <c r="X186" s="1" t="s">
        <v>889</v>
      </c>
      <c r="Y186" s="1" t="s">
        <v>423</v>
      </c>
      <c r="Z186" s="1" t="s">
        <v>46</v>
      </c>
      <c r="AA186" s="1">
        <v>2022</v>
      </c>
      <c r="AB186" s="1" t="s">
        <v>44</v>
      </c>
      <c r="AC186" s="1" t="s">
        <v>45</v>
      </c>
      <c r="AD186" s="1" t="s">
        <v>43</v>
      </c>
      <c r="AE186" s="1" t="s">
        <v>43</v>
      </c>
      <c r="AF186" s="1"/>
      <c r="AG186" s="1" t="s">
        <v>43</v>
      </c>
      <c r="AH186" s="2">
        <v>45769</v>
      </c>
    </row>
    <row r="187" spans="1:34" x14ac:dyDescent="0.3">
      <c r="A187" s="1">
        <v>7296501</v>
      </c>
      <c r="B187" s="1">
        <v>14.33</v>
      </c>
      <c r="C187" s="1">
        <v>299</v>
      </c>
      <c r="D187" s="1">
        <v>349</v>
      </c>
      <c r="E187" s="1" t="s">
        <v>43</v>
      </c>
      <c r="F187" s="1">
        <v>0</v>
      </c>
      <c r="G187" s="1" t="s">
        <v>538</v>
      </c>
      <c r="H187" s="1" t="s">
        <v>890</v>
      </c>
      <c r="I187" s="1" t="str">
        <f>HYPERLINK("https://www.systembolaget.se/produkt/vin/orlando-abrigo-7296501/","https://www.systembolaget.se/produkt/vin/orlando-abrigo-7296501/")</f>
        <v>https://www.systembolaget.se/produkt/vin/orlando-abrigo-7296501/</v>
      </c>
      <c r="J187" s="1">
        <v>14.33</v>
      </c>
      <c r="K187" s="1">
        <v>14.33</v>
      </c>
      <c r="L187" s="2">
        <v>45389</v>
      </c>
      <c r="M187" s="1" t="s">
        <v>888</v>
      </c>
      <c r="N187" s="1">
        <v>0.36</v>
      </c>
      <c r="O187" s="1">
        <v>750</v>
      </c>
      <c r="P187" s="1">
        <v>14.5</v>
      </c>
      <c r="Q187" s="1" t="s">
        <v>38</v>
      </c>
      <c r="R187" s="1" t="s">
        <v>52</v>
      </c>
      <c r="S187" s="1"/>
      <c r="T187" s="1"/>
      <c r="U187" s="1" t="s">
        <v>53</v>
      </c>
      <c r="V187" s="1"/>
      <c r="W187" s="1"/>
      <c r="X187" s="1" t="s">
        <v>538</v>
      </c>
      <c r="Y187" s="1" t="s">
        <v>539</v>
      </c>
      <c r="Z187" s="1" t="s">
        <v>43</v>
      </c>
      <c r="AA187" s="1">
        <v>2020</v>
      </c>
      <c r="AB187" s="1" t="s">
        <v>77</v>
      </c>
      <c r="AC187" s="1" t="s">
        <v>45</v>
      </c>
      <c r="AD187" s="1" t="s">
        <v>43</v>
      </c>
      <c r="AE187" s="1" t="s">
        <v>43</v>
      </c>
      <c r="AF187" s="1"/>
      <c r="AG187" s="1" t="s">
        <v>43</v>
      </c>
      <c r="AH187" s="2">
        <v>45264</v>
      </c>
    </row>
    <row r="188" spans="1:34" x14ac:dyDescent="0.3">
      <c r="A188" s="1">
        <v>7987101</v>
      </c>
      <c r="B188" s="1">
        <v>14.33</v>
      </c>
      <c r="C188" s="1">
        <v>299</v>
      </c>
      <c r="D188" s="1">
        <v>349</v>
      </c>
      <c r="E188" s="1" t="s">
        <v>43</v>
      </c>
      <c r="F188" s="1">
        <v>0</v>
      </c>
      <c r="G188" s="1" t="s">
        <v>891</v>
      </c>
      <c r="H188" s="1" t="s">
        <v>892</v>
      </c>
      <c r="I188" s="1" t="str">
        <f>HYPERLINK("https://www.systembolaget.se/produkt/vin/l-echelier-7987101/","https://www.systembolaget.se/produkt/vin/l-echelier-7987101/")</f>
        <v>https://www.systembolaget.se/produkt/vin/l-echelier-7987101/</v>
      </c>
      <c r="J188" s="1">
        <v>45.54</v>
      </c>
      <c r="K188" s="1">
        <v>14.33</v>
      </c>
      <c r="L188" s="2">
        <v>45965</v>
      </c>
      <c r="M188" s="1" t="s">
        <v>893</v>
      </c>
      <c r="N188" s="1">
        <v>0.31</v>
      </c>
      <c r="O188" s="1">
        <v>750</v>
      </c>
      <c r="P188" s="1">
        <v>12.5</v>
      </c>
      <c r="Q188" s="1" t="s">
        <v>38</v>
      </c>
      <c r="R188" s="1" t="s">
        <v>39</v>
      </c>
      <c r="S188" s="1"/>
      <c r="T188" s="1"/>
      <c r="U188" s="1" t="s">
        <v>101</v>
      </c>
      <c r="V188" s="1" t="s">
        <v>227</v>
      </c>
      <c r="W188" s="1" t="s">
        <v>894</v>
      </c>
      <c r="X188" s="1" t="s">
        <v>892</v>
      </c>
      <c r="Y188" s="1" t="s">
        <v>145</v>
      </c>
      <c r="Z188" s="1" t="s">
        <v>46</v>
      </c>
      <c r="AA188" s="1">
        <v>2021</v>
      </c>
      <c r="AB188" s="1" t="s">
        <v>44</v>
      </c>
      <c r="AC188" s="1" t="s">
        <v>45</v>
      </c>
      <c r="AD188" s="1" t="s">
        <v>43</v>
      </c>
      <c r="AE188" s="1" t="s">
        <v>43</v>
      </c>
      <c r="AF188" s="1"/>
      <c r="AG188" s="1" t="s">
        <v>43</v>
      </c>
      <c r="AH188" s="2">
        <v>45972</v>
      </c>
    </row>
    <row r="189" spans="1:34" x14ac:dyDescent="0.3">
      <c r="A189" s="1">
        <v>3600602</v>
      </c>
      <c r="B189" s="1">
        <v>14.31</v>
      </c>
      <c r="C189" s="1">
        <v>599</v>
      </c>
      <c r="D189" s="1">
        <v>699</v>
      </c>
      <c r="E189" s="1" t="s">
        <v>43</v>
      </c>
      <c r="F189" s="1">
        <v>0</v>
      </c>
      <c r="G189" s="1" t="s">
        <v>895</v>
      </c>
      <c r="H189" s="1" t="s">
        <v>896</v>
      </c>
      <c r="I189" s="1" t="str">
        <f>HYPERLINK("https://www.systembolaget.se/produkt/sprit/high-coast-distillery-3600602/","https://www.systembolaget.se/produkt/sprit/high-coast-distillery-3600602/")</f>
        <v>https://www.systembolaget.se/produkt/sprit/high-coast-distillery-3600602/</v>
      </c>
      <c r="J189" s="1">
        <v>25.03</v>
      </c>
      <c r="K189" s="1">
        <v>14.31</v>
      </c>
      <c r="L189" s="2">
        <v>45389</v>
      </c>
      <c r="M189" s="1" t="s">
        <v>897</v>
      </c>
      <c r="N189" s="1">
        <v>0.43</v>
      </c>
      <c r="O189" s="1">
        <v>500</v>
      </c>
      <c r="P189" s="1">
        <v>51</v>
      </c>
      <c r="Q189" s="1" t="s">
        <v>308</v>
      </c>
      <c r="R189" s="1" t="s">
        <v>309</v>
      </c>
      <c r="S189" s="1" t="s">
        <v>318</v>
      </c>
      <c r="T189" s="1"/>
      <c r="U189" s="1" t="s">
        <v>110</v>
      </c>
      <c r="V189" s="1" t="s">
        <v>898</v>
      </c>
      <c r="W189" s="1" t="s">
        <v>899</v>
      </c>
      <c r="X189" s="1" t="s">
        <v>895</v>
      </c>
      <c r="Y189" s="1" t="s">
        <v>900</v>
      </c>
      <c r="Z189" s="1" t="s">
        <v>43</v>
      </c>
      <c r="AA189" s="1"/>
      <c r="AB189" s="1" t="s">
        <v>44</v>
      </c>
      <c r="AC189" s="1" t="s">
        <v>115</v>
      </c>
      <c r="AD189" s="1" t="s">
        <v>43</v>
      </c>
      <c r="AE189" s="1" t="s">
        <v>43</v>
      </c>
      <c r="AF189" s="1">
        <v>2</v>
      </c>
      <c r="AG189" s="1" t="s">
        <v>43</v>
      </c>
      <c r="AH189" s="2">
        <v>45264</v>
      </c>
    </row>
    <row r="190" spans="1:34" x14ac:dyDescent="0.3">
      <c r="A190" s="1">
        <v>7692201</v>
      </c>
      <c r="B190" s="1">
        <v>14.15</v>
      </c>
      <c r="C190" s="1">
        <v>649</v>
      </c>
      <c r="D190" s="1">
        <v>756</v>
      </c>
      <c r="E190" s="1" t="s">
        <v>43</v>
      </c>
      <c r="F190" s="1">
        <v>0</v>
      </c>
      <c r="G190" s="1" t="s">
        <v>901</v>
      </c>
      <c r="H190" s="1" t="s">
        <v>902</v>
      </c>
      <c r="I190" s="1" t="str">
        <f>HYPERLINK("https://www.systembolaget.se/produkt/vin/viticcio-7692201/","https://www.systembolaget.se/produkt/vin/viticcio-7692201/")</f>
        <v>https://www.systembolaget.se/produkt/vin/viticcio-7692201/</v>
      </c>
      <c r="J190" s="1">
        <v>13.93</v>
      </c>
      <c r="K190" s="1">
        <v>14.15</v>
      </c>
      <c r="L190" s="2">
        <v>45971</v>
      </c>
      <c r="M190" s="1" t="s">
        <v>903</v>
      </c>
      <c r="N190" s="1">
        <v>0.16</v>
      </c>
      <c r="O190" s="1">
        <v>750</v>
      </c>
      <c r="P190" s="1">
        <v>14</v>
      </c>
      <c r="Q190" s="1" t="s">
        <v>38</v>
      </c>
      <c r="R190" s="1" t="s">
        <v>52</v>
      </c>
      <c r="S190" s="1"/>
      <c r="T190" s="1"/>
      <c r="U190" s="1" t="s">
        <v>53</v>
      </c>
      <c r="V190" s="1" t="s">
        <v>63</v>
      </c>
      <c r="W190" s="1"/>
      <c r="X190" s="1" t="s">
        <v>904</v>
      </c>
      <c r="Y190" s="1" t="s">
        <v>905</v>
      </c>
      <c r="Z190" s="1" t="s">
        <v>46</v>
      </c>
      <c r="AA190" s="1">
        <v>2018</v>
      </c>
      <c r="AB190" s="1" t="s">
        <v>44</v>
      </c>
      <c r="AC190" s="1" t="s">
        <v>45</v>
      </c>
      <c r="AD190" s="1" t="s">
        <v>43</v>
      </c>
      <c r="AE190" s="1" t="s">
        <v>43</v>
      </c>
      <c r="AF190" s="1"/>
      <c r="AG190" s="1" t="s">
        <v>43</v>
      </c>
      <c r="AH190" s="2">
        <v>45978</v>
      </c>
    </row>
    <row r="191" spans="1:34" x14ac:dyDescent="0.3">
      <c r="A191" s="1">
        <v>8710301</v>
      </c>
      <c r="B191" s="1">
        <v>14.02</v>
      </c>
      <c r="C191" s="1">
        <v>638</v>
      </c>
      <c r="D191" s="1">
        <v>742</v>
      </c>
      <c r="E191" s="1" t="s">
        <v>43</v>
      </c>
      <c r="F191" s="1">
        <v>0</v>
      </c>
      <c r="G191" s="1" t="s">
        <v>906</v>
      </c>
      <c r="H191" s="1"/>
      <c r="I191" s="1" t="str">
        <f>HYPERLINK("https://www.systembolaget.se/produkt/sprit/westerhall-no-10-8710301/","https://www.systembolaget.se/produkt/sprit/westerhall-no-10-8710301/")</f>
        <v>https://www.systembolaget.se/produkt/sprit/westerhall-no-10-8710301/</v>
      </c>
      <c r="J191" s="1">
        <v>13.9</v>
      </c>
      <c r="K191" s="1">
        <v>14.02</v>
      </c>
      <c r="L191" s="2">
        <v>45430</v>
      </c>
      <c r="M191" s="1" t="s">
        <v>907</v>
      </c>
      <c r="N191" s="1">
        <v>0.44</v>
      </c>
      <c r="O191" s="1">
        <v>700</v>
      </c>
      <c r="P191" s="1">
        <v>40</v>
      </c>
      <c r="Q191" s="1" t="s">
        <v>308</v>
      </c>
      <c r="R191" s="1" t="s">
        <v>908</v>
      </c>
      <c r="S191" s="1" t="s">
        <v>909</v>
      </c>
      <c r="T191" s="1"/>
      <c r="U191" s="1" t="s">
        <v>910</v>
      </c>
      <c r="V191" s="1"/>
      <c r="W191" s="1"/>
      <c r="X191" s="1" t="s">
        <v>911</v>
      </c>
      <c r="Y191" s="1" t="s">
        <v>857</v>
      </c>
      <c r="Z191" s="1" t="s">
        <v>43</v>
      </c>
      <c r="AA191" s="1"/>
      <c r="AB191" s="1" t="s">
        <v>44</v>
      </c>
      <c r="AC191" s="1" t="s">
        <v>45</v>
      </c>
      <c r="AD191" s="1" t="s">
        <v>43</v>
      </c>
      <c r="AE191" s="1" t="s">
        <v>43</v>
      </c>
      <c r="AF191" s="1"/>
      <c r="AG191" s="1" t="s">
        <v>43</v>
      </c>
      <c r="AH191" s="2">
        <v>43591</v>
      </c>
    </row>
    <row r="192" spans="1:34" x14ac:dyDescent="0.3">
      <c r="A192" s="1">
        <v>8661301</v>
      </c>
      <c r="B192" s="1">
        <v>13.87</v>
      </c>
      <c r="C192" s="1">
        <v>1068</v>
      </c>
      <c r="D192" s="1">
        <v>1240</v>
      </c>
      <c r="E192" s="1" t="s">
        <v>43</v>
      </c>
      <c r="F192" s="1">
        <v>0</v>
      </c>
      <c r="G192" s="1" t="s">
        <v>912</v>
      </c>
      <c r="H192" s="1" t="s">
        <v>913</v>
      </c>
      <c r="I192" s="1" t="str">
        <f>HYPERLINK("https://www.systembolaget.se/produkt/sprit/elixir-distillers-8661301/","https://www.systembolaget.se/produkt/sprit/elixir-distillers-8661301/")</f>
        <v>https://www.systembolaget.se/produkt/sprit/elixir-distillers-8661301/</v>
      </c>
      <c r="J192" s="1">
        <v>13.73</v>
      </c>
      <c r="K192" s="1">
        <v>13.87</v>
      </c>
      <c r="L192" s="2">
        <v>45911</v>
      </c>
      <c r="M192" s="1" t="s">
        <v>914</v>
      </c>
      <c r="N192" s="1">
        <v>0.4</v>
      </c>
      <c r="O192" s="1">
        <v>700</v>
      </c>
      <c r="P192" s="1">
        <v>60.6</v>
      </c>
      <c r="Q192" s="1" t="s">
        <v>308</v>
      </c>
      <c r="R192" s="1" t="s">
        <v>309</v>
      </c>
      <c r="S192" s="1" t="s">
        <v>318</v>
      </c>
      <c r="T192" s="1"/>
      <c r="U192" s="1" t="s">
        <v>253</v>
      </c>
      <c r="V192" s="1" t="s">
        <v>254</v>
      </c>
      <c r="W192" s="1" t="s">
        <v>721</v>
      </c>
      <c r="X192" s="1" t="s">
        <v>912</v>
      </c>
      <c r="Y192" s="1" t="s">
        <v>857</v>
      </c>
      <c r="Z192" s="1" t="s">
        <v>43</v>
      </c>
      <c r="AA192" s="1">
        <v>2012</v>
      </c>
      <c r="AB192" s="1" t="s">
        <v>44</v>
      </c>
      <c r="AC192" s="1" t="s">
        <v>45</v>
      </c>
      <c r="AD192" s="1" t="s">
        <v>43</v>
      </c>
      <c r="AE192" s="1" t="s">
        <v>43</v>
      </c>
      <c r="AF192" s="1"/>
      <c r="AG192" s="1" t="s">
        <v>43</v>
      </c>
      <c r="AH192" s="2">
        <v>45917</v>
      </c>
    </row>
    <row r="193" spans="1:34" x14ac:dyDescent="0.3">
      <c r="A193" s="1">
        <v>3213835</v>
      </c>
      <c r="B193" s="1">
        <v>13.84</v>
      </c>
      <c r="C193" s="1">
        <v>24.9</v>
      </c>
      <c r="D193" s="1">
        <v>28.9</v>
      </c>
      <c r="E193" s="1" t="s">
        <v>43</v>
      </c>
      <c r="F193" s="1">
        <v>0</v>
      </c>
      <c r="G193" s="1" t="s">
        <v>915</v>
      </c>
      <c r="H193" s="1" t="s">
        <v>916</v>
      </c>
      <c r="I193" s="1" t="str">
        <f>HYPERLINK("https://www.systembolaget.se/produkt/ol/bromma-allmanna-bryggeri-3213835/","https://www.systembolaget.se/produkt/ol/bromma-allmanna-bryggeri-3213835/")</f>
        <v>https://www.systembolaget.se/produkt/ol/bromma-allmanna-bryggeri-3213835/</v>
      </c>
      <c r="J193" s="1"/>
      <c r="K193" s="1">
        <v>13.84</v>
      </c>
      <c r="L193" s="2">
        <v>46125</v>
      </c>
      <c r="M193" s="1" t="s">
        <v>917</v>
      </c>
      <c r="N193" s="1">
        <v>0.66</v>
      </c>
      <c r="O193" s="1">
        <v>330</v>
      </c>
      <c r="P193" s="1">
        <v>5</v>
      </c>
      <c r="Q193" s="1" t="s">
        <v>107</v>
      </c>
      <c r="R193" s="1" t="s">
        <v>134</v>
      </c>
      <c r="S193" s="1" t="s">
        <v>918</v>
      </c>
      <c r="T193" s="1"/>
      <c r="U193" s="1" t="s">
        <v>110</v>
      </c>
      <c r="V193" s="1" t="s">
        <v>380</v>
      </c>
      <c r="W193" s="1" t="s">
        <v>919</v>
      </c>
      <c r="X193" s="1" t="s">
        <v>920</v>
      </c>
      <c r="Y193" s="1" t="s">
        <v>920</v>
      </c>
      <c r="Z193" s="1" t="s">
        <v>43</v>
      </c>
      <c r="AA193" s="1"/>
      <c r="AB193" s="1" t="s">
        <v>114</v>
      </c>
      <c r="AC193" s="1" t="s">
        <v>115</v>
      </c>
      <c r="AD193" s="1" t="s">
        <v>43</v>
      </c>
      <c r="AE193" s="1" t="s">
        <v>43</v>
      </c>
      <c r="AF193" s="1"/>
      <c r="AG193" s="1" t="s">
        <v>43</v>
      </c>
      <c r="AH193" s="2">
        <v>46146</v>
      </c>
    </row>
    <row r="194" spans="1:34" x14ac:dyDescent="0.3">
      <c r="A194" s="1">
        <v>8288301</v>
      </c>
      <c r="B194" s="1">
        <v>13.8</v>
      </c>
      <c r="C194" s="1">
        <v>1268</v>
      </c>
      <c r="D194" s="1">
        <v>1471</v>
      </c>
      <c r="E194" s="1" t="s">
        <v>43</v>
      </c>
      <c r="F194" s="1">
        <v>0</v>
      </c>
      <c r="G194" s="1" t="s">
        <v>921</v>
      </c>
      <c r="H194" s="1" t="s">
        <v>922</v>
      </c>
      <c r="I194" s="1" t="str">
        <f>HYPERLINK("https://www.systembolaget.se/produkt/sprit/tormore-8288301/","https://www.systembolaget.se/produkt/sprit/tormore-8288301/")</f>
        <v>https://www.systembolaget.se/produkt/sprit/tormore-8288301/</v>
      </c>
      <c r="J194" s="1">
        <v>13.68</v>
      </c>
      <c r="K194" s="1">
        <v>13.8</v>
      </c>
      <c r="L194" s="2">
        <v>45911</v>
      </c>
      <c r="M194" s="1" t="s">
        <v>923</v>
      </c>
      <c r="N194" s="1">
        <v>0.3</v>
      </c>
      <c r="O194" s="1">
        <v>700</v>
      </c>
      <c r="P194" s="1">
        <v>55.2</v>
      </c>
      <c r="Q194" s="1" t="s">
        <v>308</v>
      </c>
      <c r="R194" s="1" t="s">
        <v>309</v>
      </c>
      <c r="S194" s="1" t="s">
        <v>318</v>
      </c>
      <c r="T194" s="1"/>
      <c r="U194" s="1" t="s">
        <v>253</v>
      </c>
      <c r="V194" s="1" t="s">
        <v>254</v>
      </c>
      <c r="W194" s="1" t="s">
        <v>721</v>
      </c>
      <c r="X194" s="1" t="s">
        <v>912</v>
      </c>
      <c r="Y194" s="1" t="s">
        <v>857</v>
      </c>
      <c r="Z194" s="1" t="s">
        <v>43</v>
      </c>
      <c r="AA194" s="1">
        <v>2009</v>
      </c>
      <c r="AB194" s="1" t="s">
        <v>44</v>
      </c>
      <c r="AC194" s="1" t="s">
        <v>45</v>
      </c>
      <c r="AD194" s="1" t="s">
        <v>43</v>
      </c>
      <c r="AE194" s="1" t="s">
        <v>43</v>
      </c>
      <c r="AF194" s="1"/>
      <c r="AG194" s="1" t="s">
        <v>43</v>
      </c>
      <c r="AH194" s="2">
        <v>45917</v>
      </c>
    </row>
    <row r="195" spans="1:34" x14ac:dyDescent="0.3">
      <c r="A195" s="1">
        <v>232801</v>
      </c>
      <c r="B195" s="1">
        <v>13.75</v>
      </c>
      <c r="C195" s="1">
        <v>69</v>
      </c>
      <c r="D195" s="1">
        <v>80</v>
      </c>
      <c r="E195" s="1" t="s">
        <v>43</v>
      </c>
      <c r="F195" s="1">
        <v>0</v>
      </c>
      <c r="G195" s="1" t="s">
        <v>924</v>
      </c>
      <c r="H195" s="1" t="s">
        <v>925</v>
      </c>
      <c r="I195" s="1" t="str">
        <f>HYPERLINK("https://www.systembolaget.se/produkt/vin/maze-232801/","https://www.systembolaget.se/produkt/vin/maze-232801/")</f>
        <v>https://www.systembolaget.se/produkt/vin/maze-232801/</v>
      </c>
      <c r="J195" s="1">
        <v>42.02</v>
      </c>
      <c r="K195" s="1">
        <v>13.75</v>
      </c>
      <c r="L195" s="2">
        <v>45389</v>
      </c>
      <c r="M195" s="1" t="s">
        <v>926</v>
      </c>
      <c r="N195" s="1">
        <v>1.58</v>
      </c>
      <c r="O195" s="1">
        <v>750</v>
      </c>
      <c r="P195" s="1">
        <v>14.5</v>
      </c>
      <c r="Q195" s="1" t="s">
        <v>38</v>
      </c>
      <c r="R195" s="1" t="s">
        <v>52</v>
      </c>
      <c r="S195" s="1" t="s">
        <v>84</v>
      </c>
      <c r="T195" s="1"/>
      <c r="U195" s="1" t="s">
        <v>149</v>
      </c>
      <c r="V195" s="1" t="s">
        <v>150</v>
      </c>
      <c r="W195" s="1"/>
      <c r="X195" s="1" t="s">
        <v>927</v>
      </c>
      <c r="Y195" s="1" t="s">
        <v>299</v>
      </c>
      <c r="Z195" s="1" t="s">
        <v>43</v>
      </c>
      <c r="AA195" s="1">
        <v>2022</v>
      </c>
      <c r="AB195" s="1" t="s">
        <v>77</v>
      </c>
      <c r="AC195" s="1" t="s">
        <v>45</v>
      </c>
      <c r="AD195" s="1" t="s">
        <v>43</v>
      </c>
      <c r="AE195" s="1" t="s">
        <v>43</v>
      </c>
      <c r="AF195" s="1">
        <v>2</v>
      </c>
      <c r="AG195" s="1" t="s">
        <v>43</v>
      </c>
      <c r="AH195" s="2">
        <v>45170</v>
      </c>
    </row>
    <row r="196" spans="1:34" x14ac:dyDescent="0.3">
      <c r="A196" s="1">
        <v>8605701</v>
      </c>
      <c r="B196" s="1">
        <v>13.67</v>
      </c>
      <c r="C196" s="1">
        <v>259</v>
      </c>
      <c r="D196" s="1">
        <v>300</v>
      </c>
      <c r="E196" s="1" t="s">
        <v>43</v>
      </c>
      <c r="F196" s="1">
        <v>0</v>
      </c>
      <c r="G196" s="1" t="s">
        <v>928</v>
      </c>
      <c r="H196" s="1" t="s">
        <v>929</v>
      </c>
      <c r="I196" s="1" t="str">
        <f>HYPERLINK("https://www.systembolaget.se/produkt/sprit/joseph-cartron-8605701/","https://www.systembolaget.se/produkt/sprit/joseph-cartron-8605701/")</f>
        <v>https://www.systembolaget.se/produkt/sprit/joseph-cartron-8605701/</v>
      </c>
      <c r="J196" s="1">
        <v>13.67</v>
      </c>
      <c r="K196" s="1">
        <v>13.67</v>
      </c>
      <c r="L196" s="2">
        <v>45520</v>
      </c>
      <c r="M196" s="1" t="s">
        <v>930</v>
      </c>
      <c r="N196" s="1">
        <v>0.56999999999999995</v>
      </c>
      <c r="O196" s="1">
        <v>700</v>
      </c>
      <c r="P196" s="1">
        <v>21</v>
      </c>
      <c r="Q196" s="1" t="s">
        <v>308</v>
      </c>
      <c r="R196" s="1" t="s">
        <v>378</v>
      </c>
      <c r="S196" s="1" t="s">
        <v>931</v>
      </c>
      <c r="T196" s="1"/>
      <c r="U196" s="1" t="s">
        <v>101</v>
      </c>
      <c r="V196" s="1"/>
      <c r="W196" s="1"/>
      <c r="X196" s="1" t="s">
        <v>932</v>
      </c>
      <c r="Y196" s="1" t="s">
        <v>933</v>
      </c>
      <c r="Z196" s="1" t="s">
        <v>43</v>
      </c>
      <c r="AA196" s="1"/>
      <c r="AB196" s="1" t="s">
        <v>44</v>
      </c>
      <c r="AC196" s="1" t="s">
        <v>45</v>
      </c>
      <c r="AD196" s="1" t="s">
        <v>43</v>
      </c>
      <c r="AE196" s="1" t="s">
        <v>43</v>
      </c>
      <c r="AF196" s="1"/>
      <c r="AG196" s="1" t="s">
        <v>43</v>
      </c>
      <c r="AH196" s="2">
        <v>41334</v>
      </c>
    </row>
    <row r="197" spans="1:34" x14ac:dyDescent="0.3">
      <c r="A197" s="1">
        <v>5322201</v>
      </c>
      <c r="B197" s="1">
        <v>13.49</v>
      </c>
      <c r="C197" s="1">
        <v>250</v>
      </c>
      <c r="D197" s="1">
        <v>289</v>
      </c>
      <c r="E197" s="1" t="s">
        <v>43</v>
      </c>
      <c r="F197" s="1">
        <v>0</v>
      </c>
      <c r="G197" s="1" t="s">
        <v>934</v>
      </c>
      <c r="H197" s="1" t="s">
        <v>935</v>
      </c>
      <c r="I197" s="1" t="str">
        <f>HYPERLINK("https://www.systembolaget.se/produkt/vin/bosio-passato-5322201/","https://www.systembolaget.se/produkt/vin/bosio-passato-5322201/")</f>
        <v>https://www.systembolaget.se/produkt/vin/bosio-passato-5322201/</v>
      </c>
      <c r="J197" s="1">
        <v>13.79</v>
      </c>
      <c r="K197" s="1">
        <v>13.49</v>
      </c>
      <c r="L197" s="2">
        <v>45389</v>
      </c>
      <c r="M197" s="1" t="s">
        <v>936</v>
      </c>
      <c r="N197" s="1">
        <v>0.47</v>
      </c>
      <c r="O197" s="1">
        <v>750</v>
      </c>
      <c r="P197" s="1">
        <v>15.5</v>
      </c>
      <c r="Q197" s="1" t="s">
        <v>38</v>
      </c>
      <c r="R197" s="1" t="s">
        <v>52</v>
      </c>
      <c r="S197" s="1"/>
      <c r="T197" s="1"/>
      <c r="U197" s="1" t="s">
        <v>53</v>
      </c>
      <c r="V197" s="1" t="s">
        <v>95</v>
      </c>
      <c r="W197" s="1" t="s">
        <v>937</v>
      </c>
      <c r="X197" s="1" t="s">
        <v>938</v>
      </c>
      <c r="Y197" s="1" t="s">
        <v>939</v>
      </c>
      <c r="Z197" s="1" t="s">
        <v>46</v>
      </c>
      <c r="AA197" s="1">
        <v>2020</v>
      </c>
      <c r="AB197" s="1" t="s">
        <v>44</v>
      </c>
      <c r="AC197" s="1" t="s">
        <v>45</v>
      </c>
      <c r="AD197" s="1" t="s">
        <v>43</v>
      </c>
      <c r="AE197" s="1" t="s">
        <v>43</v>
      </c>
      <c r="AF197" s="1"/>
      <c r="AG197" s="1" t="s">
        <v>43</v>
      </c>
      <c r="AH197" s="2">
        <v>44411</v>
      </c>
    </row>
    <row r="198" spans="1:34" x14ac:dyDescent="0.3">
      <c r="A198" s="1">
        <v>7533201</v>
      </c>
      <c r="B198" s="1">
        <v>13.42</v>
      </c>
      <c r="C198" s="1">
        <v>129</v>
      </c>
      <c r="D198" s="1">
        <v>149</v>
      </c>
      <c r="E198" s="1" t="s">
        <v>43</v>
      </c>
      <c r="F198" s="1">
        <v>0</v>
      </c>
      <c r="G198" s="1" t="s">
        <v>940</v>
      </c>
      <c r="H198" s="1" t="s">
        <v>941</v>
      </c>
      <c r="I198" s="1" t="str">
        <f>HYPERLINK("https://www.systembolaget.se/produkt/vin/kloof-street-7533201/","https://www.systembolaget.se/produkt/vin/kloof-street-7533201/")</f>
        <v>https://www.systembolaget.se/produkt/vin/kloof-street-7533201/</v>
      </c>
      <c r="J198" s="1">
        <v>13.42</v>
      </c>
      <c r="K198" s="1">
        <v>13.42</v>
      </c>
      <c r="L198" s="2">
        <v>45389</v>
      </c>
      <c r="M198" s="1" t="s">
        <v>942</v>
      </c>
      <c r="N198" s="1">
        <v>0.78</v>
      </c>
      <c r="O198" s="1">
        <v>750</v>
      </c>
      <c r="P198" s="1">
        <v>13.5</v>
      </c>
      <c r="Q198" s="1" t="s">
        <v>38</v>
      </c>
      <c r="R198" s="1" t="s">
        <v>52</v>
      </c>
      <c r="S198" s="1"/>
      <c r="T198" s="1"/>
      <c r="U198" s="1" t="s">
        <v>289</v>
      </c>
      <c r="V198" s="1" t="s">
        <v>290</v>
      </c>
      <c r="W198" s="1" t="s">
        <v>291</v>
      </c>
      <c r="X198" s="1" t="s">
        <v>943</v>
      </c>
      <c r="Y198" s="1" t="s">
        <v>304</v>
      </c>
      <c r="Z198" s="1" t="s">
        <v>43</v>
      </c>
      <c r="AA198" s="1">
        <v>2020</v>
      </c>
      <c r="AB198" s="1" t="s">
        <v>44</v>
      </c>
      <c r="AC198" s="1" t="s">
        <v>45</v>
      </c>
      <c r="AD198" s="1" t="s">
        <v>43</v>
      </c>
      <c r="AE198" s="1" t="s">
        <v>43</v>
      </c>
      <c r="AF198" s="1"/>
      <c r="AG198" s="1" t="s">
        <v>43</v>
      </c>
      <c r="AH198" s="2">
        <v>43423</v>
      </c>
    </row>
    <row r="199" spans="1:34" x14ac:dyDescent="0.3">
      <c r="A199" s="1">
        <v>3884815</v>
      </c>
      <c r="B199" s="1">
        <v>13.38</v>
      </c>
      <c r="C199" s="1">
        <v>25.9</v>
      </c>
      <c r="D199" s="1">
        <v>29.9</v>
      </c>
      <c r="E199" s="1" t="s">
        <v>43</v>
      </c>
      <c r="F199" s="1">
        <v>0</v>
      </c>
      <c r="G199" s="1" t="s">
        <v>944</v>
      </c>
      <c r="H199" s="1" t="s">
        <v>945</v>
      </c>
      <c r="I199" s="1" t="str">
        <f>HYPERLINK("https://www.systembolaget.se/produkt/ol/benchwarmers-3884815/","https://www.systembolaget.se/produkt/ol/benchwarmers-3884815/")</f>
        <v>https://www.systembolaget.se/produkt/ol/benchwarmers-3884815/</v>
      </c>
      <c r="J199" s="1">
        <v>13.38</v>
      </c>
      <c r="K199" s="1">
        <v>13.38</v>
      </c>
      <c r="L199" s="2">
        <v>45532</v>
      </c>
      <c r="M199" s="1" t="s">
        <v>946</v>
      </c>
      <c r="N199" s="1">
        <v>0.71</v>
      </c>
      <c r="O199" s="1">
        <v>330</v>
      </c>
      <c r="P199" s="1">
        <v>5.6</v>
      </c>
      <c r="Q199" s="1" t="s">
        <v>107</v>
      </c>
      <c r="R199" s="1" t="s">
        <v>108</v>
      </c>
      <c r="S199" s="1" t="s">
        <v>790</v>
      </c>
      <c r="T199" s="1"/>
      <c r="U199" s="1" t="s">
        <v>110</v>
      </c>
      <c r="V199" s="1" t="s">
        <v>694</v>
      </c>
      <c r="W199" s="1" t="s">
        <v>695</v>
      </c>
      <c r="X199" s="1" t="s">
        <v>696</v>
      </c>
      <c r="Y199" s="1" t="s">
        <v>697</v>
      </c>
      <c r="Z199" s="1" t="s">
        <v>43</v>
      </c>
      <c r="AA199" s="1"/>
      <c r="AB199" s="1" t="s">
        <v>114</v>
      </c>
      <c r="AC199" s="1" t="s">
        <v>115</v>
      </c>
      <c r="AD199" s="1" t="s">
        <v>43</v>
      </c>
      <c r="AE199" s="1" t="s">
        <v>43</v>
      </c>
      <c r="AF199" s="1"/>
      <c r="AG199" s="1" t="s">
        <v>43</v>
      </c>
      <c r="AH199" s="2">
        <v>44991</v>
      </c>
    </row>
    <row r="200" spans="1:34" x14ac:dyDescent="0.3">
      <c r="A200" s="1">
        <v>7276701</v>
      </c>
      <c r="B200" s="1">
        <v>13.36</v>
      </c>
      <c r="C200" s="1">
        <v>389</v>
      </c>
      <c r="D200" s="1">
        <v>449</v>
      </c>
      <c r="E200" s="1" t="s">
        <v>43</v>
      </c>
      <c r="F200" s="1">
        <v>0</v>
      </c>
      <c r="G200" s="1" t="s">
        <v>947</v>
      </c>
      <c r="H200" s="1" t="s">
        <v>948</v>
      </c>
      <c r="I200" s="1" t="str">
        <f>HYPERLINK("https://www.systembolaget.se/produkt/vin/seven-springs-7276701/","https://www.systembolaget.se/produkt/vin/seven-springs-7276701/")</f>
        <v>https://www.systembolaget.se/produkt/vin/seven-springs-7276701/</v>
      </c>
      <c r="J200" s="1">
        <v>13.36</v>
      </c>
      <c r="K200" s="1">
        <v>13.36</v>
      </c>
      <c r="L200" s="2">
        <v>45389</v>
      </c>
      <c r="M200" s="1" t="s">
        <v>949</v>
      </c>
      <c r="N200" s="1">
        <v>0.26</v>
      </c>
      <c r="O200" s="1">
        <v>750</v>
      </c>
      <c r="P200" s="1">
        <v>13.5</v>
      </c>
      <c r="Q200" s="1" t="s">
        <v>38</v>
      </c>
      <c r="R200" s="1" t="s">
        <v>52</v>
      </c>
      <c r="S200" s="1"/>
      <c r="T200" s="1"/>
      <c r="U200" s="1" t="s">
        <v>73</v>
      </c>
      <c r="V200" s="1" t="s">
        <v>676</v>
      </c>
      <c r="W200" s="1" t="s">
        <v>677</v>
      </c>
      <c r="X200" s="1" t="s">
        <v>950</v>
      </c>
      <c r="Y200" s="1" t="s">
        <v>103</v>
      </c>
      <c r="Z200" s="1" t="s">
        <v>43</v>
      </c>
      <c r="AA200" s="1">
        <v>2021</v>
      </c>
      <c r="AB200" s="1" t="s">
        <v>44</v>
      </c>
      <c r="AC200" s="1" t="s">
        <v>45</v>
      </c>
      <c r="AD200" s="1" t="s">
        <v>43</v>
      </c>
      <c r="AE200" s="1" t="s">
        <v>43</v>
      </c>
      <c r="AF200" s="1"/>
      <c r="AG200" s="1" t="s">
        <v>43</v>
      </c>
      <c r="AH200" s="2">
        <v>45264</v>
      </c>
    </row>
    <row r="201" spans="1:34" x14ac:dyDescent="0.3">
      <c r="A201" s="1">
        <v>1601801</v>
      </c>
      <c r="B201" s="1">
        <v>13.19</v>
      </c>
      <c r="C201" s="1">
        <v>79</v>
      </c>
      <c r="D201" s="1">
        <v>91</v>
      </c>
      <c r="E201" s="1" t="s">
        <v>43</v>
      </c>
      <c r="F201" s="1">
        <v>0</v>
      </c>
      <c r="G201" s="1" t="s">
        <v>951</v>
      </c>
      <c r="H201" s="1" t="s">
        <v>952</v>
      </c>
      <c r="I201" s="1" t="str">
        <f>HYPERLINK("https://www.systembolaget.se/produkt/vin/las-moras-1601801/","https://www.systembolaget.se/produkt/vin/las-moras-1601801/")</f>
        <v>https://www.systembolaget.se/produkt/vin/las-moras-1601801/</v>
      </c>
      <c r="J201" s="1">
        <v>11.24</v>
      </c>
      <c r="K201" s="1">
        <v>13.19</v>
      </c>
      <c r="L201" s="2">
        <v>45533</v>
      </c>
      <c r="M201" s="1" t="s">
        <v>953</v>
      </c>
      <c r="N201" s="1">
        <v>1.23</v>
      </c>
      <c r="O201" s="1">
        <v>750</v>
      </c>
      <c r="P201" s="1">
        <v>13</v>
      </c>
      <c r="Q201" s="1" t="s">
        <v>38</v>
      </c>
      <c r="R201" s="1" t="s">
        <v>39</v>
      </c>
      <c r="S201" s="1" t="s">
        <v>283</v>
      </c>
      <c r="T201" s="1"/>
      <c r="U201" s="1" t="s">
        <v>85</v>
      </c>
      <c r="V201" s="1" t="s">
        <v>86</v>
      </c>
      <c r="W201" s="1" t="s">
        <v>954</v>
      </c>
      <c r="X201" s="1" t="s">
        <v>955</v>
      </c>
      <c r="Y201" s="1" t="s">
        <v>423</v>
      </c>
      <c r="Z201" s="1" t="s">
        <v>46</v>
      </c>
      <c r="AA201" s="1">
        <v>2025</v>
      </c>
      <c r="AB201" s="1" t="s">
        <v>181</v>
      </c>
      <c r="AC201" s="1" t="s">
        <v>90</v>
      </c>
      <c r="AD201" s="1" t="s">
        <v>43</v>
      </c>
      <c r="AE201" s="1" t="s">
        <v>43</v>
      </c>
      <c r="AF201" s="1">
        <v>2</v>
      </c>
      <c r="AG201" s="1" t="s">
        <v>43</v>
      </c>
      <c r="AH201" s="2">
        <v>41183</v>
      </c>
    </row>
    <row r="202" spans="1:34" x14ac:dyDescent="0.3">
      <c r="A202" s="1">
        <v>1601841</v>
      </c>
      <c r="B202" s="1">
        <v>13.19</v>
      </c>
      <c r="C202" s="1">
        <v>79</v>
      </c>
      <c r="D202" s="1">
        <v>91</v>
      </c>
      <c r="E202" s="1" t="s">
        <v>43</v>
      </c>
      <c r="F202" s="1">
        <v>0</v>
      </c>
      <c r="G202" s="1" t="s">
        <v>951</v>
      </c>
      <c r="H202" s="1" t="s">
        <v>952</v>
      </c>
      <c r="I202" s="1" t="str">
        <f>HYPERLINK("https://www.systembolaget.se/produkt/vin/las-moras-1601841/","https://www.systembolaget.se/produkt/vin/las-moras-1601841/")</f>
        <v>https://www.systembolaget.se/produkt/vin/las-moras-1601841/</v>
      </c>
      <c r="J202" s="1"/>
      <c r="K202" s="1">
        <v>13.19</v>
      </c>
      <c r="L202" s="2">
        <v>46136</v>
      </c>
      <c r="M202" s="1" t="s">
        <v>956</v>
      </c>
      <c r="N202" s="1">
        <v>1.23</v>
      </c>
      <c r="O202" s="1">
        <v>750</v>
      </c>
      <c r="P202" s="1">
        <v>13</v>
      </c>
      <c r="Q202" s="1" t="s">
        <v>38</v>
      </c>
      <c r="R202" s="1" t="s">
        <v>39</v>
      </c>
      <c r="S202" s="1" t="s">
        <v>283</v>
      </c>
      <c r="T202" s="1"/>
      <c r="U202" s="1" t="s">
        <v>85</v>
      </c>
      <c r="V202" s="1" t="s">
        <v>86</v>
      </c>
      <c r="W202" s="1" t="s">
        <v>954</v>
      </c>
      <c r="X202" s="1" t="s">
        <v>955</v>
      </c>
      <c r="Y202" s="1" t="s">
        <v>423</v>
      </c>
      <c r="Z202" s="1" t="s">
        <v>46</v>
      </c>
      <c r="AA202" s="1">
        <v>2025</v>
      </c>
      <c r="AB202" s="1" t="s">
        <v>181</v>
      </c>
      <c r="AC202" s="1" t="s">
        <v>90</v>
      </c>
      <c r="AD202" s="1" t="s">
        <v>43</v>
      </c>
      <c r="AE202" s="1" t="s">
        <v>43</v>
      </c>
      <c r="AF202" s="1">
        <v>2</v>
      </c>
      <c r="AG202" s="1" t="s">
        <v>43</v>
      </c>
      <c r="AH202" s="2">
        <v>46143</v>
      </c>
    </row>
    <row r="203" spans="1:34" x14ac:dyDescent="0.3">
      <c r="A203" s="1">
        <v>3047935</v>
      </c>
      <c r="B203" s="1">
        <v>13.1</v>
      </c>
      <c r="C203" s="1">
        <v>19.899999999999999</v>
      </c>
      <c r="D203" s="1">
        <v>22.9</v>
      </c>
      <c r="E203" s="1" t="s">
        <v>43</v>
      </c>
      <c r="F203" s="1">
        <v>0</v>
      </c>
      <c r="G203" s="1" t="s">
        <v>957</v>
      </c>
      <c r="H203" s="1" t="s">
        <v>958</v>
      </c>
      <c r="I203" s="1" t="str">
        <f>HYPERLINK("https://www.systembolaget.se/produkt/ol/benchwarmers-brewing-3047935/","https://www.systembolaget.se/produkt/ol/benchwarmers-brewing-3047935/")</f>
        <v>https://www.systembolaget.se/produkt/ol/benchwarmers-brewing-3047935/</v>
      </c>
      <c r="J203" s="1"/>
      <c r="K203" s="1">
        <v>13.1</v>
      </c>
      <c r="L203" s="2">
        <v>46034</v>
      </c>
      <c r="M203" s="1" t="s">
        <v>959</v>
      </c>
      <c r="N203" s="1">
        <v>0.93</v>
      </c>
      <c r="O203" s="1">
        <v>330</v>
      </c>
      <c r="P203" s="1">
        <v>5.6</v>
      </c>
      <c r="Q203" s="1" t="s">
        <v>107</v>
      </c>
      <c r="R203" s="1" t="s">
        <v>108</v>
      </c>
      <c r="S203" s="1" t="s">
        <v>960</v>
      </c>
      <c r="T203" s="1"/>
      <c r="U203" s="1" t="s">
        <v>110</v>
      </c>
      <c r="V203" s="1" t="s">
        <v>694</v>
      </c>
      <c r="W203" s="1" t="s">
        <v>695</v>
      </c>
      <c r="X203" s="1" t="s">
        <v>696</v>
      </c>
      <c r="Y203" s="1" t="s">
        <v>697</v>
      </c>
      <c r="Z203" s="1" t="s">
        <v>43</v>
      </c>
      <c r="AA203" s="1"/>
      <c r="AB203" s="1" t="s">
        <v>114</v>
      </c>
      <c r="AC203" s="1" t="s">
        <v>115</v>
      </c>
      <c r="AD203" s="1" t="s">
        <v>43</v>
      </c>
      <c r="AE203" s="1" t="s">
        <v>43</v>
      </c>
      <c r="AF203" s="1"/>
      <c r="AG203" s="1" t="s">
        <v>43</v>
      </c>
      <c r="AH203" s="2">
        <v>46055</v>
      </c>
    </row>
    <row r="204" spans="1:34" x14ac:dyDescent="0.3">
      <c r="A204" s="1">
        <v>7049201</v>
      </c>
      <c r="B204" s="1">
        <v>13.1</v>
      </c>
      <c r="C204" s="1">
        <v>199</v>
      </c>
      <c r="D204" s="1">
        <v>229</v>
      </c>
      <c r="E204" s="1" t="s">
        <v>43</v>
      </c>
      <c r="F204" s="1">
        <v>0</v>
      </c>
      <c r="G204" s="1" t="s">
        <v>961</v>
      </c>
      <c r="H204" s="1"/>
      <c r="I204" s="1" t="str">
        <f>HYPERLINK("https://www.systembolaget.se/produkt/vin/manoella-7049201/","https://www.systembolaget.se/produkt/vin/manoella-7049201/")</f>
        <v>https://www.systembolaget.se/produkt/vin/manoella-7049201/</v>
      </c>
      <c r="J204" s="1">
        <v>13.1</v>
      </c>
      <c r="K204" s="1">
        <v>13.1</v>
      </c>
      <c r="L204" s="2">
        <v>45389</v>
      </c>
      <c r="M204" s="1" t="s">
        <v>962</v>
      </c>
      <c r="N204" s="1">
        <v>0.51</v>
      </c>
      <c r="O204" s="1">
        <v>750</v>
      </c>
      <c r="P204" s="1">
        <v>13.5</v>
      </c>
      <c r="Q204" s="1" t="s">
        <v>38</v>
      </c>
      <c r="R204" s="1" t="s">
        <v>52</v>
      </c>
      <c r="S204" s="1"/>
      <c r="T204" s="1"/>
      <c r="U204" s="1" t="s">
        <v>272</v>
      </c>
      <c r="V204" s="1" t="s">
        <v>341</v>
      </c>
      <c r="W204" s="1"/>
      <c r="X204" s="1" t="s">
        <v>963</v>
      </c>
      <c r="Y204" s="1" t="s">
        <v>434</v>
      </c>
      <c r="Z204" s="1" t="s">
        <v>43</v>
      </c>
      <c r="AA204" s="1">
        <v>2023</v>
      </c>
      <c r="AB204" s="1" t="s">
        <v>77</v>
      </c>
      <c r="AC204" s="1" t="s">
        <v>45</v>
      </c>
      <c r="AD204" s="1" t="s">
        <v>43</v>
      </c>
      <c r="AE204" s="1" t="s">
        <v>43</v>
      </c>
      <c r="AF204" s="1"/>
      <c r="AG204" s="1" t="s">
        <v>43</v>
      </c>
      <c r="AH204" s="2">
        <v>41214</v>
      </c>
    </row>
    <row r="205" spans="1:34" x14ac:dyDescent="0.3">
      <c r="A205" s="1">
        <v>7119001</v>
      </c>
      <c r="B205" s="1">
        <v>13.1</v>
      </c>
      <c r="C205" s="1">
        <v>199</v>
      </c>
      <c r="D205" s="1">
        <v>229</v>
      </c>
      <c r="E205" s="1" t="s">
        <v>459</v>
      </c>
      <c r="F205" s="1">
        <v>0</v>
      </c>
      <c r="G205" s="1" t="s">
        <v>886</v>
      </c>
      <c r="H205" s="1" t="s">
        <v>964</v>
      </c>
      <c r="I205" s="1" t="str">
        <f>HYPERLINK("https://www.systembolaget.se/produkt/vin/san-salvatore-7119001/","https://www.systembolaget.se/produkt/vin/san-salvatore-7119001/")</f>
        <v>https://www.systembolaget.se/produkt/vin/san-salvatore-7119001/</v>
      </c>
      <c r="J205" s="1">
        <v>13.1</v>
      </c>
      <c r="K205" s="1">
        <v>13.1</v>
      </c>
      <c r="L205" s="2">
        <v>45762</v>
      </c>
      <c r="M205" s="1" t="s">
        <v>965</v>
      </c>
      <c r="N205" s="1">
        <v>0.47</v>
      </c>
      <c r="O205" s="1">
        <v>750</v>
      </c>
      <c r="P205" s="1">
        <v>12.5</v>
      </c>
      <c r="Q205" s="1" t="s">
        <v>38</v>
      </c>
      <c r="R205" s="1" t="s">
        <v>39</v>
      </c>
      <c r="S205" s="1"/>
      <c r="T205" s="1"/>
      <c r="U205" s="1" t="s">
        <v>53</v>
      </c>
      <c r="V205" s="1"/>
      <c r="W205" s="1"/>
      <c r="X205" s="1" t="s">
        <v>889</v>
      </c>
      <c r="Y205" s="1" t="s">
        <v>423</v>
      </c>
      <c r="Z205" s="1" t="s">
        <v>43</v>
      </c>
      <c r="AA205" s="1">
        <v>2024</v>
      </c>
      <c r="AB205" s="1" t="s">
        <v>44</v>
      </c>
      <c r="AC205" s="1" t="s">
        <v>45</v>
      </c>
      <c r="AD205" s="1" t="s">
        <v>43</v>
      </c>
      <c r="AE205" s="1" t="s">
        <v>43</v>
      </c>
      <c r="AF205" s="1"/>
      <c r="AG205" s="1" t="s">
        <v>43</v>
      </c>
      <c r="AH205" s="2">
        <v>45769</v>
      </c>
    </row>
    <row r="206" spans="1:34" x14ac:dyDescent="0.3">
      <c r="A206" s="1">
        <v>7207101</v>
      </c>
      <c r="B206" s="1">
        <v>13.05</v>
      </c>
      <c r="C206" s="1">
        <v>999</v>
      </c>
      <c r="D206" s="1">
        <v>1149</v>
      </c>
      <c r="E206" s="1" t="s">
        <v>43</v>
      </c>
      <c r="F206" s="1">
        <v>0</v>
      </c>
      <c r="G206" s="1" t="s">
        <v>966</v>
      </c>
      <c r="H206" s="1" t="s">
        <v>967</v>
      </c>
      <c r="I206" s="1" t="str">
        <f>HYPERLINK("https://www.systembolaget.se/produkt/vin/barolo-ceretta-7207101/","https://www.systembolaget.se/produkt/vin/barolo-ceretta-7207101/")</f>
        <v>https://www.systembolaget.se/produkt/vin/barolo-ceretta-7207101/</v>
      </c>
      <c r="J206" s="1">
        <v>13.05</v>
      </c>
      <c r="K206" s="1">
        <v>13.05</v>
      </c>
      <c r="L206" s="2">
        <v>45957</v>
      </c>
      <c r="M206" s="1" t="s">
        <v>968</v>
      </c>
      <c r="N206" s="1">
        <v>0.11</v>
      </c>
      <c r="O206" s="1">
        <v>750</v>
      </c>
      <c r="P206" s="1">
        <v>14.5</v>
      </c>
      <c r="Q206" s="1" t="s">
        <v>38</v>
      </c>
      <c r="R206" s="1" t="s">
        <v>52</v>
      </c>
      <c r="S206" s="1"/>
      <c r="T206" s="1"/>
      <c r="U206" s="1" t="s">
        <v>53</v>
      </c>
      <c r="V206" s="1" t="s">
        <v>95</v>
      </c>
      <c r="W206" s="1" t="s">
        <v>969</v>
      </c>
      <c r="X206" s="1" t="s">
        <v>967</v>
      </c>
      <c r="Y206" s="1" t="s">
        <v>678</v>
      </c>
      <c r="Z206" s="1" t="s">
        <v>43</v>
      </c>
      <c r="AA206" s="1">
        <v>2021</v>
      </c>
      <c r="AB206" s="1" t="s">
        <v>44</v>
      </c>
      <c r="AC206" s="1" t="s">
        <v>45</v>
      </c>
      <c r="AD206" s="1" t="s">
        <v>43</v>
      </c>
      <c r="AE206" s="1" t="s">
        <v>43</v>
      </c>
      <c r="AF206" s="1"/>
      <c r="AG206" s="1" t="s">
        <v>43</v>
      </c>
      <c r="AH206" s="2">
        <v>45964</v>
      </c>
    </row>
    <row r="207" spans="1:34" x14ac:dyDescent="0.3">
      <c r="A207" s="1">
        <v>7711006</v>
      </c>
      <c r="B207" s="1">
        <v>13.05</v>
      </c>
      <c r="C207" s="1">
        <v>999</v>
      </c>
      <c r="D207" s="1">
        <v>1149</v>
      </c>
      <c r="E207" s="1" t="s">
        <v>43</v>
      </c>
      <c r="F207" s="1">
        <v>0</v>
      </c>
      <c r="G207" s="1" t="s">
        <v>970</v>
      </c>
      <c r="H207" s="1" t="s">
        <v>812</v>
      </c>
      <c r="I207" s="1" t="str">
        <f>HYPERLINK("https://www.systembolaget.se/produkt/vin/graacher-himmelreich-kabinett-7711006/","https://www.systembolaget.se/produkt/vin/graacher-himmelreich-kabinett-7711006/")</f>
        <v>https://www.systembolaget.se/produkt/vin/graacher-himmelreich-kabinett-7711006/</v>
      </c>
      <c r="J207" s="1"/>
      <c r="K207" s="1">
        <v>13.05</v>
      </c>
      <c r="L207" s="2">
        <v>46001</v>
      </c>
      <c r="M207" s="1" t="s">
        <v>968</v>
      </c>
      <c r="N207" s="1">
        <v>0.14000000000000001</v>
      </c>
      <c r="O207" s="1">
        <v>1500</v>
      </c>
      <c r="P207" s="1">
        <v>9</v>
      </c>
      <c r="Q207" s="1" t="s">
        <v>38</v>
      </c>
      <c r="R207" s="1" t="s">
        <v>39</v>
      </c>
      <c r="S207" s="1"/>
      <c r="T207" s="1"/>
      <c r="U207" s="1" t="s">
        <v>119</v>
      </c>
      <c r="V207" s="1" t="s">
        <v>814</v>
      </c>
      <c r="W207" s="1"/>
      <c r="X207" s="1" t="s">
        <v>815</v>
      </c>
      <c r="Y207" s="1" t="s">
        <v>678</v>
      </c>
      <c r="Z207" s="1" t="s">
        <v>43</v>
      </c>
      <c r="AA207" s="1">
        <v>2023</v>
      </c>
      <c r="AB207" s="1" t="s">
        <v>77</v>
      </c>
      <c r="AC207" s="1" t="s">
        <v>45</v>
      </c>
      <c r="AD207" s="1" t="s">
        <v>43</v>
      </c>
      <c r="AE207" s="1" t="s">
        <v>43</v>
      </c>
      <c r="AF207" s="1"/>
      <c r="AG207" s="1" t="s">
        <v>43</v>
      </c>
      <c r="AH207" s="2">
        <v>46008</v>
      </c>
    </row>
    <row r="208" spans="1:34" x14ac:dyDescent="0.3">
      <c r="A208" s="1">
        <v>7641601</v>
      </c>
      <c r="B208" s="1">
        <v>13</v>
      </c>
      <c r="C208" s="1">
        <v>669</v>
      </c>
      <c r="D208" s="1">
        <v>769</v>
      </c>
      <c r="E208" s="1" t="s">
        <v>43</v>
      </c>
      <c r="F208" s="1">
        <v>0</v>
      </c>
      <c r="G208" s="1" t="s">
        <v>971</v>
      </c>
      <c r="H208" s="1" t="s">
        <v>972</v>
      </c>
      <c r="I208" s="1" t="str">
        <f>HYPERLINK("https://www.systembolaget.se/produkt/vin/paolo-scavino-7641601/","https://www.systembolaget.se/produkt/vin/paolo-scavino-7641601/")</f>
        <v>https://www.systembolaget.se/produkt/vin/paolo-scavino-7641601/</v>
      </c>
      <c r="J208" s="1"/>
      <c r="K208" s="1">
        <v>13</v>
      </c>
      <c r="L208" s="2">
        <v>46034</v>
      </c>
      <c r="M208" s="1" t="s">
        <v>973</v>
      </c>
      <c r="N208" s="1">
        <v>0.16</v>
      </c>
      <c r="O208" s="1">
        <v>750</v>
      </c>
      <c r="P208" s="1">
        <v>14.5</v>
      </c>
      <c r="Q208" s="1" t="s">
        <v>38</v>
      </c>
      <c r="R208" s="1" t="s">
        <v>52</v>
      </c>
      <c r="S208" s="1"/>
      <c r="T208" s="1"/>
      <c r="U208" s="1" t="s">
        <v>53</v>
      </c>
      <c r="V208" s="1" t="s">
        <v>95</v>
      </c>
      <c r="W208" s="1" t="s">
        <v>969</v>
      </c>
      <c r="X208" s="1" t="s">
        <v>971</v>
      </c>
      <c r="Y208" s="1" t="s">
        <v>678</v>
      </c>
      <c r="Z208" s="1" t="s">
        <v>43</v>
      </c>
      <c r="AA208" s="1">
        <v>2021</v>
      </c>
      <c r="AB208" s="1" t="s">
        <v>44</v>
      </c>
      <c r="AC208" s="1" t="s">
        <v>45</v>
      </c>
      <c r="AD208" s="1" t="s">
        <v>43</v>
      </c>
      <c r="AE208" s="1" t="s">
        <v>43</v>
      </c>
      <c r="AF208" s="1"/>
      <c r="AG208" s="1" t="s">
        <v>43</v>
      </c>
      <c r="AH208" s="2">
        <v>46041</v>
      </c>
    </row>
    <row r="209" spans="1:34" x14ac:dyDescent="0.3">
      <c r="A209" s="1">
        <v>7096301</v>
      </c>
      <c r="B209" s="1">
        <v>13</v>
      </c>
      <c r="C209" s="1">
        <v>669</v>
      </c>
      <c r="D209" s="1">
        <v>769</v>
      </c>
      <c r="E209" s="1" t="s">
        <v>43</v>
      </c>
      <c r="F209" s="1">
        <v>0</v>
      </c>
      <c r="G209" s="1" t="s">
        <v>972</v>
      </c>
      <c r="H209" s="1" t="s">
        <v>971</v>
      </c>
      <c r="I209" s="1" t="str">
        <f>HYPERLINK("https://www.systembolaget.se/produkt/vin/barolo-bricco-ambrogio-7096301/","https://www.systembolaget.se/produkt/vin/barolo-bricco-ambrogio-7096301/")</f>
        <v>https://www.systembolaget.se/produkt/vin/barolo-bricco-ambrogio-7096301/</v>
      </c>
      <c r="J209" s="1">
        <v>13</v>
      </c>
      <c r="K209" s="1">
        <v>13</v>
      </c>
      <c r="L209" s="2">
        <v>45474</v>
      </c>
      <c r="M209" s="1" t="s">
        <v>973</v>
      </c>
      <c r="N209" s="1">
        <v>0.16</v>
      </c>
      <c r="O209" s="1">
        <v>750</v>
      </c>
      <c r="P209" s="1">
        <v>14.5</v>
      </c>
      <c r="Q209" s="1" t="s">
        <v>38</v>
      </c>
      <c r="R209" s="1" t="s">
        <v>52</v>
      </c>
      <c r="S209" s="1"/>
      <c r="T209" s="1"/>
      <c r="U209" s="1" t="s">
        <v>53</v>
      </c>
      <c r="V209" s="1" t="s">
        <v>95</v>
      </c>
      <c r="W209" s="1" t="s">
        <v>969</v>
      </c>
      <c r="X209" s="1" t="s">
        <v>971</v>
      </c>
      <c r="Y209" s="1" t="s">
        <v>678</v>
      </c>
      <c r="Z209" s="1" t="s">
        <v>43</v>
      </c>
      <c r="AA209" s="1">
        <v>2020</v>
      </c>
      <c r="AB209" s="1" t="s">
        <v>44</v>
      </c>
      <c r="AC209" s="1" t="s">
        <v>45</v>
      </c>
      <c r="AD209" s="1" t="s">
        <v>43</v>
      </c>
      <c r="AE209" s="1" t="s">
        <v>43</v>
      </c>
      <c r="AF209" s="1"/>
      <c r="AG209" s="1" t="s">
        <v>43</v>
      </c>
      <c r="AH209" s="2">
        <v>45481</v>
      </c>
    </row>
    <row r="210" spans="1:34" x14ac:dyDescent="0.3">
      <c r="A210" s="1">
        <v>8706801</v>
      </c>
      <c r="B210" s="1">
        <v>12.76</v>
      </c>
      <c r="C210" s="1">
        <v>588</v>
      </c>
      <c r="D210" s="1">
        <v>674</v>
      </c>
      <c r="E210" s="1" t="s">
        <v>43</v>
      </c>
      <c r="F210" s="1">
        <v>0</v>
      </c>
      <c r="G210" s="1" t="s">
        <v>974</v>
      </c>
      <c r="H210" s="1"/>
      <c r="I210" s="1" t="str">
        <f>HYPERLINK("https://www.systembolaget.se/produkt/sprit/westerhall-no-7-8706801/","https://www.systembolaget.se/produkt/sprit/westerhall-no-7-8706801/")</f>
        <v>https://www.systembolaget.se/produkt/sprit/westerhall-no-7-8706801/</v>
      </c>
      <c r="J210" s="1">
        <v>12.63</v>
      </c>
      <c r="K210" s="1">
        <v>12.76</v>
      </c>
      <c r="L210" s="2">
        <v>45430</v>
      </c>
      <c r="M210" s="1" t="s">
        <v>975</v>
      </c>
      <c r="N210" s="1">
        <v>0.48</v>
      </c>
      <c r="O210" s="1">
        <v>700</v>
      </c>
      <c r="P210" s="1">
        <v>40</v>
      </c>
      <c r="Q210" s="1" t="s">
        <v>308</v>
      </c>
      <c r="R210" s="1" t="s">
        <v>908</v>
      </c>
      <c r="S210" s="1" t="s">
        <v>909</v>
      </c>
      <c r="T210" s="1"/>
      <c r="U210" s="1" t="s">
        <v>910</v>
      </c>
      <c r="V210" s="1"/>
      <c r="W210" s="1"/>
      <c r="X210" s="1" t="s">
        <v>911</v>
      </c>
      <c r="Y210" s="1" t="s">
        <v>857</v>
      </c>
      <c r="Z210" s="1" t="s">
        <v>43</v>
      </c>
      <c r="AA210" s="1"/>
      <c r="AB210" s="1" t="s">
        <v>44</v>
      </c>
      <c r="AC210" s="1" t="s">
        <v>45</v>
      </c>
      <c r="AD210" s="1" t="s">
        <v>43</v>
      </c>
      <c r="AE210" s="1" t="s">
        <v>43</v>
      </c>
      <c r="AF210" s="1"/>
      <c r="AG210" s="1" t="s">
        <v>43</v>
      </c>
      <c r="AH210" s="2">
        <v>43591</v>
      </c>
    </row>
    <row r="211" spans="1:34" x14ac:dyDescent="0.3">
      <c r="A211" s="1">
        <v>8479601</v>
      </c>
      <c r="B211" s="1">
        <v>12.74</v>
      </c>
      <c r="C211" s="1">
        <v>959</v>
      </c>
      <c r="D211" s="1">
        <v>1099</v>
      </c>
      <c r="E211" s="1" t="s">
        <v>43</v>
      </c>
      <c r="F211" s="1">
        <v>0</v>
      </c>
      <c r="G211" s="1" t="s">
        <v>976</v>
      </c>
      <c r="H211" s="1" t="s">
        <v>977</v>
      </c>
      <c r="I211" s="1" t="str">
        <f>HYPERLINK("https://www.systembolaget.se/produkt/sprit/mossburn-8479601/","https://www.systembolaget.se/produkt/sprit/mossburn-8479601/")</f>
        <v>https://www.systembolaget.se/produkt/sprit/mossburn-8479601/</v>
      </c>
      <c r="J211" s="1">
        <v>12.74</v>
      </c>
      <c r="K211" s="1">
        <v>12.74</v>
      </c>
      <c r="L211" s="2">
        <v>45628</v>
      </c>
      <c r="M211" s="1" t="s">
        <v>978</v>
      </c>
      <c r="N211" s="1">
        <v>0.42</v>
      </c>
      <c r="O211" s="1">
        <v>700</v>
      </c>
      <c r="P211" s="1">
        <v>57.2</v>
      </c>
      <c r="Q211" s="1" t="s">
        <v>308</v>
      </c>
      <c r="R211" s="1" t="s">
        <v>309</v>
      </c>
      <c r="S211" s="1" t="s">
        <v>318</v>
      </c>
      <c r="T211" s="1"/>
      <c r="U211" s="1" t="s">
        <v>253</v>
      </c>
      <c r="V211" s="1" t="s">
        <v>254</v>
      </c>
      <c r="W211" s="1"/>
      <c r="X211" s="1" t="s">
        <v>979</v>
      </c>
      <c r="Y211" s="1" t="s">
        <v>980</v>
      </c>
      <c r="Z211" s="1" t="s">
        <v>43</v>
      </c>
      <c r="AA211" s="1"/>
      <c r="AB211" s="1" t="s">
        <v>44</v>
      </c>
      <c r="AC211" s="1" t="s">
        <v>45</v>
      </c>
      <c r="AD211" s="1" t="s">
        <v>43</v>
      </c>
      <c r="AE211" s="1" t="s">
        <v>43</v>
      </c>
      <c r="AF211" s="1"/>
      <c r="AG211" s="1" t="s">
        <v>43</v>
      </c>
      <c r="AH211" s="2">
        <v>45635</v>
      </c>
    </row>
    <row r="212" spans="1:34" x14ac:dyDescent="0.3">
      <c r="A212" s="1">
        <v>7269001</v>
      </c>
      <c r="B212" s="1">
        <v>12.63</v>
      </c>
      <c r="C212" s="1">
        <v>699</v>
      </c>
      <c r="D212" s="1">
        <v>800</v>
      </c>
      <c r="E212" s="1" t="s">
        <v>43</v>
      </c>
      <c r="F212" s="1">
        <v>12</v>
      </c>
      <c r="G212" s="1" t="s">
        <v>981</v>
      </c>
      <c r="H212" s="1" t="s">
        <v>982</v>
      </c>
      <c r="I212" s="1" t="str">
        <f>HYPERLINK("https://www.systembolaget.se/produkt/vin/chateau-picque-caillou-7269001/","https://www.systembolaget.se/produkt/vin/chateau-picque-caillou-7269001/")</f>
        <v>https://www.systembolaget.se/produkt/vin/chateau-picque-caillou-7269001/</v>
      </c>
      <c r="J212" s="1">
        <v>-18.47</v>
      </c>
      <c r="K212" s="1">
        <v>12.63</v>
      </c>
      <c r="L212" s="2">
        <v>45509</v>
      </c>
      <c r="M212" s="1" t="s">
        <v>983</v>
      </c>
      <c r="N212" s="1">
        <v>0.14000000000000001</v>
      </c>
      <c r="O212" s="1">
        <v>750</v>
      </c>
      <c r="P212" s="1">
        <v>13.5</v>
      </c>
      <c r="Q212" s="1" t="s">
        <v>38</v>
      </c>
      <c r="R212" s="1" t="s">
        <v>52</v>
      </c>
      <c r="S212" s="1"/>
      <c r="T212" s="1"/>
      <c r="U212" s="1" t="s">
        <v>101</v>
      </c>
      <c r="V212" s="1" t="s">
        <v>371</v>
      </c>
      <c r="W212" s="1" t="s">
        <v>984</v>
      </c>
      <c r="X212" s="1" t="s">
        <v>985</v>
      </c>
      <c r="Y212" s="1" t="s">
        <v>374</v>
      </c>
      <c r="Z212" s="1" t="s">
        <v>43</v>
      </c>
      <c r="AA212" s="1">
        <v>2009</v>
      </c>
      <c r="AB212" s="1" t="s">
        <v>44</v>
      </c>
      <c r="AC212" s="1" t="s">
        <v>45</v>
      </c>
      <c r="AD212" s="1" t="s">
        <v>43</v>
      </c>
      <c r="AE212" s="1" t="s">
        <v>43</v>
      </c>
      <c r="AF212" s="1"/>
      <c r="AG212" s="1" t="s">
        <v>43</v>
      </c>
      <c r="AH212" s="2">
        <v>42905</v>
      </c>
    </row>
    <row r="213" spans="1:34" x14ac:dyDescent="0.3">
      <c r="A213" s="1">
        <v>3305802</v>
      </c>
      <c r="B213" s="1">
        <v>12.63</v>
      </c>
      <c r="C213" s="1">
        <v>249</v>
      </c>
      <c r="D213" s="1">
        <v>285</v>
      </c>
      <c r="E213" s="1" t="s">
        <v>43</v>
      </c>
      <c r="F213" s="1">
        <v>0</v>
      </c>
      <c r="G213" s="1" t="s">
        <v>320</v>
      </c>
      <c r="H213" s="1" t="s">
        <v>986</v>
      </c>
      <c r="I213" s="1" t="str">
        <f>HYPERLINK("https://www.systembolaget.se/produkt/sprit/olandsbranneri-3305802/","https://www.systembolaget.se/produkt/sprit/olandsbranneri-3305802/")</f>
        <v>https://www.systembolaget.se/produkt/sprit/olandsbranneri-3305802/</v>
      </c>
      <c r="J213" s="1"/>
      <c r="K213" s="1">
        <v>12.63</v>
      </c>
      <c r="L213" s="2">
        <v>45978</v>
      </c>
      <c r="M213" s="1" t="s">
        <v>987</v>
      </c>
      <c r="N213" s="1">
        <v>0.48</v>
      </c>
      <c r="O213" s="1">
        <v>500</v>
      </c>
      <c r="P213" s="1">
        <v>24</v>
      </c>
      <c r="Q213" s="1" t="s">
        <v>308</v>
      </c>
      <c r="R213" s="1" t="s">
        <v>378</v>
      </c>
      <c r="S213" s="1" t="s">
        <v>379</v>
      </c>
      <c r="T213" s="1"/>
      <c r="U213" s="1" t="s">
        <v>110</v>
      </c>
      <c r="V213" s="1" t="s">
        <v>325</v>
      </c>
      <c r="W213" s="1" t="s">
        <v>326</v>
      </c>
      <c r="X213" s="1" t="s">
        <v>320</v>
      </c>
      <c r="Y213" s="1" t="s">
        <v>327</v>
      </c>
      <c r="Z213" s="1" t="s">
        <v>43</v>
      </c>
      <c r="AA213" s="1"/>
      <c r="AB213" s="1" t="s">
        <v>44</v>
      </c>
      <c r="AC213" s="1" t="s">
        <v>115</v>
      </c>
      <c r="AD213" s="1" t="s">
        <v>46</v>
      </c>
      <c r="AE213" s="1" t="s">
        <v>43</v>
      </c>
      <c r="AF213" s="1">
        <v>238</v>
      </c>
      <c r="AG213" s="1" t="s">
        <v>43</v>
      </c>
      <c r="AH213" s="2">
        <v>46034</v>
      </c>
    </row>
    <row r="214" spans="1:34" x14ac:dyDescent="0.3">
      <c r="A214" s="1">
        <v>2011108</v>
      </c>
      <c r="B214" s="1">
        <v>12.55</v>
      </c>
      <c r="C214" s="1">
        <v>209</v>
      </c>
      <c r="D214" s="1">
        <v>239</v>
      </c>
      <c r="E214" s="1" t="s">
        <v>43</v>
      </c>
      <c r="F214" s="1">
        <v>0</v>
      </c>
      <c r="G214" s="1" t="s">
        <v>988</v>
      </c>
      <c r="H214" s="1" t="s">
        <v>989</v>
      </c>
      <c r="I214" s="1" t="str">
        <f>HYPERLINK("https://www.systembolaget.se/produkt/vin/call-it-a-day-2011108/","https://www.systembolaget.se/produkt/vin/call-it-a-day-2011108/")</f>
        <v>https://www.systembolaget.se/produkt/vin/call-it-a-day-2011108/</v>
      </c>
      <c r="J214" s="1">
        <v>8.73</v>
      </c>
      <c r="K214" s="1">
        <v>12.55</v>
      </c>
      <c r="L214" s="2">
        <v>45607</v>
      </c>
      <c r="M214" s="1" t="s">
        <v>990</v>
      </c>
      <c r="N214" s="1">
        <v>1.87</v>
      </c>
      <c r="O214" s="1">
        <v>3000</v>
      </c>
      <c r="P214" s="1">
        <v>13</v>
      </c>
      <c r="Q214" s="1" t="s">
        <v>38</v>
      </c>
      <c r="R214" s="1" t="s">
        <v>39</v>
      </c>
      <c r="S214" s="1" t="s">
        <v>184</v>
      </c>
      <c r="T214" s="1"/>
      <c r="U214" s="1" t="s">
        <v>289</v>
      </c>
      <c r="V214" s="1" t="s">
        <v>290</v>
      </c>
      <c r="W214" s="1" t="s">
        <v>291</v>
      </c>
      <c r="X214" s="1" t="s">
        <v>991</v>
      </c>
      <c r="Y214" s="1" t="s">
        <v>660</v>
      </c>
      <c r="Z214" s="1" t="s">
        <v>43</v>
      </c>
      <c r="AA214" s="1">
        <v>2024</v>
      </c>
      <c r="AB214" s="1" t="s">
        <v>654</v>
      </c>
      <c r="AC214" s="1" t="s">
        <v>45</v>
      </c>
      <c r="AD214" s="1" t="s">
        <v>43</v>
      </c>
      <c r="AE214" s="1" t="s">
        <v>43</v>
      </c>
      <c r="AF214" s="1">
        <v>4</v>
      </c>
      <c r="AG214" s="1" t="s">
        <v>46</v>
      </c>
      <c r="AH214" s="2">
        <v>45628</v>
      </c>
    </row>
    <row r="215" spans="1:34" x14ac:dyDescent="0.3">
      <c r="A215" s="1">
        <v>5040601</v>
      </c>
      <c r="B215" s="1">
        <v>12.53</v>
      </c>
      <c r="C215" s="1">
        <v>349</v>
      </c>
      <c r="D215" s="1">
        <v>399</v>
      </c>
      <c r="E215" s="1" t="s">
        <v>43</v>
      </c>
      <c r="F215" s="1">
        <v>0</v>
      </c>
      <c r="G215" s="1" t="s">
        <v>992</v>
      </c>
      <c r="H215" s="1" t="s">
        <v>993</v>
      </c>
      <c r="I215" s="1" t="str">
        <f>HYPERLINK("https://www.systembolaget.se/produkt/sprit/etoh-5040601/","https://www.systembolaget.se/produkt/sprit/etoh-5040601/")</f>
        <v>https://www.systembolaget.se/produkt/sprit/etoh-5040601/</v>
      </c>
      <c r="J215" s="1">
        <v>12.53</v>
      </c>
      <c r="K215" s="1">
        <v>12.53</v>
      </c>
      <c r="L215" s="2">
        <v>45389</v>
      </c>
      <c r="M215" s="1" t="s">
        <v>994</v>
      </c>
      <c r="N215" s="1">
        <v>0.84</v>
      </c>
      <c r="O215" s="1">
        <v>700</v>
      </c>
      <c r="P215" s="1">
        <v>42</v>
      </c>
      <c r="Q215" s="1" t="s">
        <v>308</v>
      </c>
      <c r="R215" s="1" t="s">
        <v>309</v>
      </c>
      <c r="S215" s="1" t="s">
        <v>310</v>
      </c>
      <c r="T215" s="1"/>
      <c r="U215" s="1" t="s">
        <v>995</v>
      </c>
      <c r="V215" s="1"/>
      <c r="W215" s="1"/>
      <c r="X215" s="1" t="s">
        <v>996</v>
      </c>
      <c r="Y215" s="1" t="s">
        <v>783</v>
      </c>
      <c r="Z215" s="1" t="s">
        <v>43</v>
      </c>
      <c r="AA215" s="1"/>
      <c r="AB215" s="1" t="s">
        <v>44</v>
      </c>
      <c r="AC215" s="1" t="s">
        <v>45</v>
      </c>
      <c r="AD215" s="1" t="s">
        <v>43</v>
      </c>
      <c r="AE215" s="1" t="s">
        <v>43</v>
      </c>
      <c r="AF215" s="1"/>
      <c r="AG215" s="1" t="s">
        <v>43</v>
      </c>
      <c r="AH215" s="2">
        <v>44986</v>
      </c>
    </row>
    <row r="216" spans="1:34" x14ac:dyDescent="0.3">
      <c r="A216" s="1">
        <v>3335535</v>
      </c>
      <c r="B216" s="1">
        <v>12.52</v>
      </c>
      <c r="C216" s="1">
        <v>69.900000000000006</v>
      </c>
      <c r="D216" s="1">
        <v>79.900000000000006</v>
      </c>
      <c r="E216" s="1" t="s">
        <v>43</v>
      </c>
      <c r="F216" s="1">
        <v>0</v>
      </c>
      <c r="G216" s="1" t="s">
        <v>997</v>
      </c>
      <c r="H216" s="1" t="s">
        <v>998</v>
      </c>
      <c r="I216" s="1" t="str">
        <f>HYPERLINK("https://www.systembolaget.se/produkt/ol/oppigards-3335535/","https://www.systembolaget.se/produkt/ol/oppigards-3335535/")</f>
        <v>https://www.systembolaget.se/produkt/ol/oppigards-3335535/</v>
      </c>
      <c r="J216" s="1">
        <v>21.99</v>
      </c>
      <c r="K216" s="1">
        <v>12.52</v>
      </c>
      <c r="L216" s="2">
        <v>45943</v>
      </c>
      <c r="M216" s="1" t="s">
        <v>999</v>
      </c>
      <c r="N216" s="1">
        <v>0.59</v>
      </c>
      <c r="O216" s="1">
        <v>330</v>
      </c>
      <c r="P216" s="1">
        <v>12.5</v>
      </c>
      <c r="Q216" s="1" t="s">
        <v>107</v>
      </c>
      <c r="R216" s="1" t="s">
        <v>108</v>
      </c>
      <c r="S216" s="1" t="s">
        <v>1000</v>
      </c>
      <c r="T216" s="1"/>
      <c r="U216" s="1" t="s">
        <v>110</v>
      </c>
      <c r="V216" s="1" t="s">
        <v>469</v>
      </c>
      <c r="W216" s="1" t="s">
        <v>470</v>
      </c>
      <c r="X216" s="1" t="s">
        <v>1001</v>
      </c>
      <c r="Y216" s="1" t="s">
        <v>471</v>
      </c>
      <c r="Z216" s="1" t="s">
        <v>43</v>
      </c>
      <c r="AA216" s="1"/>
      <c r="AB216" s="1" t="s">
        <v>114</v>
      </c>
      <c r="AC216" s="1" t="s">
        <v>115</v>
      </c>
      <c r="AD216" s="1" t="s">
        <v>46</v>
      </c>
      <c r="AE216" s="1" t="s">
        <v>43</v>
      </c>
      <c r="AF216" s="1"/>
      <c r="AG216" s="1" t="s">
        <v>43</v>
      </c>
      <c r="AH216" s="2">
        <v>45964</v>
      </c>
    </row>
    <row r="217" spans="1:34" x14ac:dyDescent="0.3">
      <c r="A217" s="1">
        <v>8177801</v>
      </c>
      <c r="B217" s="1">
        <v>12.52</v>
      </c>
      <c r="C217" s="1">
        <v>699</v>
      </c>
      <c r="D217" s="1">
        <v>799</v>
      </c>
      <c r="E217" s="1" t="s">
        <v>43</v>
      </c>
      <c r="F217" s="1">
        <v>0</v>
      </c>
      <c r="G217" s="1" t="s">
        <v>1002</v>
      </c>
      <c r="H217" s="1" t="s">
        <v>1003</v>
      </c>
      <c r="I217" s="1" t="str">
        <f>HYPERLINK("https://www.systembolaget.se/produkt/sprit/still-gin-8177801/","https://www.systembolaget.se/produkt/sprit/still-gin-8177801/")</f>
        <v>https://www.systembolaget.se/produkt/sprit/still-gin-8177801/</v>
      </c>
      <c r="J217" s="1">
        <v>12.41</v>
      </c>
      <c r="K217" s="1">
        <v>12.52</v>
      </c>
      <c r="L217" s="2">
        <v>45859</v>
      </c>
      <c r="M217" s="1" t="s">
        <v>1004</v>
      </c>
      <c r="N217" s="1">
        <v>0.43</v>
      </c>
      <c r="O217" s="1">
        <v>700</v>
      </c>
      <c r="P217" s="1">
        <v>42.5</v>
      </c>
      <c r="Q217" s="1" t="s">
        <v>308</v>
      </c>
      <c r="R217" s="1" t="s">
        <v>487</v>
      </c>
      <c r="S217" s="1" t="s">
        <v>488</v>
      </c>
      <c r="T217" s="1"/>
      <c r="U217" s="1" t="s">
        <v>311</v>
      </c>
      <c r="V217" s="1"/>
      <c r="W217" s="1"/>
      <c r="X217" s="1" t="s">
        <v>1005</v>
      </c>
      <c r="Y217" s="1" t="s">
        <v>1006</v>
      </c>
      <c r="Z217" s="1" t="s">
        <v>43</v>
      </c>
      <c r="AA217" s="1"/>
      <c r="AB217" s="1" t="s">
        <v>44</v>
      </c>
      <c r="AC217" s="1" t="s">
        <v>45</v>
      </c>
      <c r="AD217" s="1" t="s">
        <v>43</v>
      </c>
      <c r="AE217" s="1" t="s">
        <v>43</v>
      </c>
      <c r="AF217" s="1"/>
      <c r="AG217" s="1" t="s">
        <v>43</v>
      </c>
      <c r="AH217" s="2">
        <v>45866</v>
      </c>
    </row>
    <row r="218" spans="1:34" x14ac:dyDescent="0.3">
      <c r="A218" s="1">
        <v>8203801</v>
      </c>
      <c r="B218" s="1">
        <v>12.52</v>
      </c>
      <c r="C218" s="1">
        <v>699</v>
      </c>
      <c r="D218" s="1">
        <v>799</v>
      </c>
      <c r="E218" s="1" t="s">
        <v>43</v>
      </c>
      <c r="F218" s="1">
        <v>0</v>
      </c>
      <c r="G218" s="1" t="s">
        <v>1007</v>
      </c>
      <c r="H218" s="1" t="s">
        <v>1008</v>
      </c>
      <c r="I218" s="1" t="str">
        <f>HYPERLINK("https://www.systembolaget.se/produkt/sprit/stanhope-8203801/","https://www.systembolaget.se/produkt/sprit/stanhope-8203801/")</f>
        <v>https://www.systembolaget.se/produkt/sprit/stanhope-8203801/</v>
      </c>
      <c r="J218" s="1">
        <v>12.52</v>
      </c>
      <c r="K218" s="1">
        <v>12.52</v>
      </c>
      <c r="L218" s="2">
        <v>45929</v>
      </c>
      <c r="M218" s="1" t="s">
        <v>1009</v>
      </c>
      <c r="N218" s="1">
        <v>0.45</v>
      </c>
      <c r="O218" s="1">
        <v>700</v>
      </c>
      <c r="P218" s="1">
        <v>45.2</v>
      </c>
      <c r="Q218" s="1" t="s">
        <v>308</v>
      </c>
      <c r="R218" s="1" t="s">
        <v>309</v>
      </c>
      <c r="S218" s="1" t="s">
        <v>1010</v>
      </c>
      <c r="T218" s="1"/>
      <c r="U218" s="1" t="s">
        <v>73</v>
      </c>
      <c r="V218" s="1"/>
      <c r="W218" s="1"/>
      <c r="X218" s="1" t="s">
        <v>1007</v>
      </c>
      <c r="Y218" s="1" t="s">
        <v>980</v>
      </c>
      <c r="Z218" s="1" t="s">
        <v>43</v>
      </c>
      <c r="AA218" s="1"/>
      <c r="AB218" s="1" t="s">
        <v>44</v>
      </c>
      <c r="AC218" s="1" t="s">
        <v>45</v>
      </c>
      <c r="AD218" s="1" t="s">
        <v>43</v>
      </c>
      <c r="AE218" s="1" t="s">
        <v>43</v>
      </c>
      <c r="AF218" s="1"/>
      <c r="AG218" s="1" t="s">
        <v>43</v>
      </c>
      <c r="AH218" s="2">
        <v>45936</v>
      </c>
    </row>
    <row r="219" spans="1:34" x14ac:dyDescent="0.3">
      <c r="A219" s="1">
        <v>8216701</v>
      </c>
      <c r="B219" s="1">
        <v>12.52</v>
      </c>
      <c r="C219" s="1">
        <v>699</v>
      </c>
      <c r="D219" s="1">
        <v>799</v>
      </c>
      <c r="E219" s="1" t="s">
        <v>43</v>
      </c>
      <c r="F219" s="1">
        <v>0</v>
      </c>
      <c r="G219" s="1" t="s">
        <v>1007</v>
      </c>
      <c r="H219" s="1" t="s">
        <v>1011</v>
      </c>
      <c r="I219" s="1" t="str">
        <f>HYPERLINK("https://www.systembolaget.se/produkt/sprit/stanhope-8216701/","https://www.systembolaget.se/produkt/sprit/stanhope-8216701/")</f>
        <v>https://www.systembolaget.se/produkt/sprit/stanhope-8216701/</v>
      </c>
      <c r="J219" s="1">
        <v>12.52</v>
      </c>
      <c r="K219" s="1">
        <v>12.52</v>
      </c>
      <c r="L219" s="2">
        <v>45929</v>
      </c>
      <c r="M219" s="1" t="s">
        <v>1009</v>
      </c>
      <c r="N219" s="1">
        <v>0.45</v>
      </c>
      <c r="O219" s="1">
        <v>700</v>
      </c>
      <c r="P219" s="1">
        <v>44.8</v>
      </c>
      <c r="Q219" s="1" t="s">
        <v>308</v>
      </c>
      <c r="R219" s="1" t="s">
        <v>309</v>
      </c>
      <c r="S219" s="1" t="s">
        <v>1012</v>
      </c>
      <c r="T219" s="1"/>
      <c r="U219" s="1" t="s">
        <v>73</v>
      </c>
      <c r="V219" s="1"/>
      <c r="W219" s="1"/>
      <c r="X219" s="1" t="s">
        <v>1007</v>
      </c>
      <c r="Y219" s="1" t="s">
        <v>980</v>
      </c>
      <c r="Z219" s="1" t="s">
        <v>43</v>
      </c>
      <c r="AA219" s="1"/>
      <c r="AB219" s="1" t="s">
        <v>44</v>
      </c>
      <c r="AC219" s="1" t="s">
        <v>45</v>
      </c>
      <c r="AD219" s="1" t="s">
        <v>43</v>
      </c>
      <c r="AE219" s="1" t="s">
        <v>43</v>
      </c>
      <c r="AF219" s="1"/>
      <c r="AG219" s="1" t="s">
        <v>43</v>
      </c>
      <c r="AH219" s="2">
        <v>45936</v>
      </c>
    </row>
    <row r="220" spans="1:34" x14ac:dyDescent="0.3">
      <c r="A220" s="1">
        <v>8744101</v>
      </c>
      <c r="B220" s="1">
        <v>12.46</v>
      </c>
      <c r="C220" s="1">
        <v>548</v>
      </c>
      <c r="D220" s="1">
        <v>626</v>
      </c>
      <c r="E220" s="1" t="s">
        <v>43</v>
      </c>
      <c r="F220" s="1">
        <v>0</v>
      </c>
      <c r="G220" s="1" t="s">
        <v>1013</v>
      </c>
      <c r="H220" s="1"/>
      <c r="I220" s="1" t="str">
        <f>HYPERLINK("https://www.systembolaget.se/produkt/sprit/westerhall-no-5-8744101/","https://www.systembolaget.se/produkt/sprit/westerhall-no-5-8744101/")</f>
        <v>https://www.systembolaget.se/produkt/sprit/westerhall-no-5-8744101/</v>
      </c>
      <c r="J220" s="1">
        <v>12.32</v>
      </c>
      <c r="K220" s="1">
        <v>12.46</v>
      </c>
      <c r="L220" s="2">
        <v>45430</v>
      </c>
      <c r="M220" s="1" t="s">
        <v>1014</v>
      </c>
      <c r="N220" s="1">
        <v>0.55000000000000004</v>
      </c>
      <c r="O220" s="1">
        <v>700</v>
      </c>
      <c r="P220" s="1">
        <v>43</v>
      </c>
      <c r="Q220" s="1" t="s">
        <v>308</v>
      </c>
      <c r="R220" s="1" t="s">
        <v>908</v>
      </c>
      <c r="S220" s="1" t="s">
        <v>909</v>
      </c>
      <c r="T220" s="1"/>
      <c r="U220" s="1" t="s">
        <v>910</v>
      </c>
      <c r="V220" s="1"/>
      <c r="W220" s="1"/>
      <c r="X220" s="1" t="s">
        <v>911</v>
      </c>
      <c r="Y220" s="1" t="s">
        <v>857</v>
      </c>
      <c r="Z220" s="1" t="s">
        <v>43</v>
      </c>
      <c r="AA220" s="1"/>
      <c r="AB220" s="1" t="s">
        <v>44</v>
      </c>
      <c r="AC220" s="1" t="s">
        <v>45</v>
      </c>
      <c r="AD220" s="1" t="s">
        <v>43</v>
      </c>
      <c r="AE220" s="1" t="s">
        <v>43</v>
      </c>
      <c r="AF220" s="1"/>
      <c r="AG220" s="1" t="s">
        <v>43</v>
      </c>
      <c r="AH220" s="2">
        <v>43591</v>
      </c>
    </row>
    <row r="221" spans="1:34" x14ac:dyDescent="0.3">
      <c r="A221" s="1">
        <v>8000102</v>
      </c>
      <c r="B221" s="1">
        <v>12.4</v>
      </c>
      <c r="C221" s="1">
        <v>219</v>
      </c>
      <c r="D221" s="1">
        <v>250</v>
      </c>
      <c r="E221" s="1" t="s">
        <v>43</v>
      </c>
      <c r="F221" s="1">
        <v>0</v>
      </c>
      <c r="G221" s="1" t="s">
        <v>928</v>
      </c>
      <c r="H221" s="1" t="s">
        <v>1015</v>
      </c>
      <c r="I221" s="1" t="str">
        <f>HYPERLINK("https://www.systembolaget.se/produkt/sprit/joseph-cartron-8000102/","https://www.systembolaget.se/produkt/sprit/joseph-cartron-8000102/")</f>
        <v>https://www.systembolaget.se/produkt/sprit/joseph-cartron-8000102/</v>
      </c>
      <c r="J221" s="1">
        <v>12.4</v>
      </c>
      <c r="K221" s="1">
        <v>12.4</v>
      </c>
      <c r="L221" s="2">
        <v>45520</v>
      </c>
      <c r="M221" s="1" t="s">
        <v>1016</v>
      </c>
      <c r="N221" s="1">
        <v>0.48</v>
      </c>
      <c r="O221" s="1">
        <v>500</v>
      </c>
      <c r="P221" s="1">
        <v>21</v>
      </c>
      <c r="Q221" s="1" t="s">
        <v>308</v>
      </c>
      <c r="R221" s="1" t="s">
        <v>378</v>
      </c>
      <c r="S221" s="1" t="s">
        <v>546</v>
      </c>
      <c r="T221" s="1"/>
      <c r="U221" s="1" t="s">
        <v>101</v>
      </c>
      <c r="V221" s="1"/>
      <c r="W221" s="1"/>
      <c r="X221" s="1" t="s">
        <v>932</v>
      </c>
      <c r="Y221" s="1" t="s">
        <v>933</v>
      </c>
      <c r="Z221" s="1" t="s">
        <v>43</v>
      </c>
      <c r="AA221" s="1"/>
      <c r="AB221" s="1" t="s">
        <v>44</v>
      </c>
      <c r="AC221" s="1" t="s">
        <v>45</v>
      </c>
      <c r="AD221" s="1" t="s">
        <v>43</v>
      </c>
      <c r="AE221" s="1" t="s">
        <v>43</v>
      </c>
      <c r="AF221" s="1"/>
      <c r="AG221" s="1" t="s">
        <v>43</v>
      </c>
      <c r="AH221" s="2">
        <v>38292</v>
      </c>
    </row>
    <row r="222" spans="1:34" x14ac:dyDescent="0.3">
      <c r="A222" s="1">
        <v>216608</v>
      </c>
      <c r="B222" s="1">
        <v>12.16</v>
      </c>
      <c r="C222" s="1">
        <v>289</v>
      </c>
      <c r="D222" s="1">
        <v>329</v>
      </c>
      <c r="E222" s="1" t="s">
        <v>43</v>
      </c>
      <c r="F222" s="1">
        <v>0</v>
      </c>
      <c r="G222" s="1" t="s">
        <v>1017</v>
      </c>
      <c r="H222" s="1" t="s">
        <v>1018</v>
      </c>
      <c r="I222" s="1" t="str">
        <f>HYPERLINK("https://www.systembolaget.se/produkt/vin/barossa-shiraz-216608/","https://www.systembolaget.se/produkt/vin/barossa-shiraz-216608/")</f>
        <v>https://www.systembolaget.se/produkt/vin/barossa-shiraz-216608/</v>
      </c>
      <c r="J222" s="1">
        <v>12.16</v>
      </c>
      <c r="K222" s="1">
        <v>12.16</v>
      </c>
      <c r="L222" s="2">
        <v>45972</v>
      </c>
      <c r="M222" s="1" t="s">
        <v>1019</v>
      </c>
      <c r="N222" s="1">
        <v>1.45</v>
      </c>
      <c r="O222" s="1">
        <v>3000</v>
      </c>
      <c r="P222" s="1">
        <v>14</v>
      </c>
      <c r="Q222" s="1" t="s">
        <v>38</v>
      </c>
      <c r="R222" s="1" t="s">
        <v>52</v>
      </c>
      <c r="S222" s="1" t="s">
        <v>84</v>
      </c>
      <c r="T222" s="1"/>
      <c r="U222" s="1" t="s">
        <v>149</v>
      </c>
      <c r="V222" s="1" t="s">
        <v>150</v>
      </c>
      <c r="W222" s="1" t="s">
        <v>1020</v>
      </c>
      <c r="X222" s="1" t="s">
        <v>1021</v>
      </c>
      <c r="Y222" s="1" t="s">
        <v>299</v>
      </c>
      <c r="Z222" s="1" t="s">
        <v>43</v>
      </c>
      <c r="AA222" s="1">
        <v>2024</v>
      </c>
      <c r="AB222" s="1" t="s">
        <v>654</v>
      </c>
      <c r="AC222" s="1" t="s">
        <v>90</v>
      </c>
      <c r="AD222" s="1" t="s">
        <v>43</v>
      </c>
      <c r="AE222" s="1" t="s">
        <v>43</v>
      </c>
      <c r="AF222" s="1">
        <v>2</v>
      </c>
      <c r="AG222" s="1" t="s">
        <v>43</v>
      </c>
      <c r="AH222" s="2">
        <v>45992</v>
      </c>
    </row>
    <row r="223" spans="1:34" x14ac:dyDescent="0.3">
      <c r="A223" s="1">
        <v>7155101</v>
      </c>
      <c r="B223" s="1">
        <v>12.05</v>
      </c>
      <c r="C223" s="1">
        <v>219</v>
      </c>
      <c r="D223" s="1">
        <v>249</v>
      </c>
      <c r="E223" s="1" t="s">
        <v>43</v>
      </c>
      <c r="F223" s="1">
        <v>0</v>
      </c>
      <c r="G223" s="1" t="s">
        <v>1022</v>
      </c>
      <c r="H223" s="1" t="s">
        <v>1023</v>
      </c>
      <c r="I223" s="1" t="str">
        <f>HYPERLINK("https://www.systembolaget.se/produkt/vin/cote-de-brouilly-7155101/","https://www.systembolaget.se/produkt/vin/cote-de-brouilly-7155101/")</f>
        <v>https://www.systembolaget.se/produkt/vin/cote-de-brouilly-7155101/</v>
      </c>
      <c r="J223" s="1">
        <v>12.05</v>
      </c>
      <c r="K223" s="1">
        <v>12.05</v>
      </c>
      <c r="L223" s="2">
        <v>45452</v>
      </c>
      <c r="M223" s="1" t="s">
        <v>1024</v>
      </c>
      <c r="N223" s="1">
        <v>0.46</v>
      </c>
      <c r="O223" s="1">
        <v>750</v>
      </c>
      <c r="P223" s="1">
        <v>13.5</v>
      </c>
      <c r="Q223" s="1" t="s">
        <v>38</v>
      </c>
      <c r="R223" s="1" t="s">
        <v>52</v>
      </c>
      <c r="S223" s="1"/>
      <c r="T223" s="1"/>
      <c r="U223" s="1" t="s">
        <v>101</v>
      </c>
      <c r="V223" s="1" t="s">
        <v>142</v>
      </c>
      <c r="W223" s="1" t="s">
        <v>1025</v>
      </c>
      <c r="X223" s="1" t="s">
        <v>1023</v>
      </c>
      <c r="Y223" s="1" t="s">
        <v>678</v>
      </c>
      <c r="Z223" s="1" t="s">
        <v>43</v>
      </c>
      <c r="AA223" s="1">
        <v>2022</v>
      </c>
      <c r="AB223" s="1" t="s">
        <v>44</v>
      </c>
      <c r="AC223" s="1" t="s">
        <v>45</v>
      </c>
      <c r="AD223" s="1" t="s">
        <v>43</v>
      </c>
      <c r="AE223" s="1" t="s">
        <v>43</v>
      </c>
      <c r="AF223" s="1"/>
      <c r="AG223" s="1" t="s">
        <v>43</v>
      </c>
      <c r="AH223" s="2">
        <v>45446</v>
      </c>
    </row>
    <row r="224" spans="1:34" x14ac:dyDescent="0.3">
      <c r="A224" s="1">
        <v>7754106</v>
      </c>
      <c r="B224" s="1">
        <v>12.02</v>
      </c>
      <c r="C224" s="1">
        <v>2195</v>
      </c>
      <c r="D224" s="1">
        <v>2495</v>
      </c>
      <c r="E224" s="1" t="s">
        <v>43</v>
      </c>
      <c r="F224" s="1">
        <v>0</v>
      </c>
      <c r="G224" s="1" t="s">
        <v>1026</v>
      </c>
      <c r="H224" s="1" t="s">
        <v>1027</v>
      </c>
      <c r="I224" s="1" t="str">
        <f>HYPERLINK("https://www.systembolaget.se/produkt/vin/pommery-7754106/","https://www.systembolaget.se/produkt/vin/pommery-7754106/")</f>
        <v>https://www.systembolaget.se/produkt/vin/pommery-7754106/</v>
      </c>
      <c r="J224" s="1"/>
      <c r="K224" s="1">
        <v>12.02</v>
      </c>
      <c r="L224" s="2">
        <v>46160</v>
      </c>
      <c r="M224" s="1" t="s">
        <v>1028</v>
      </c>
      <c r="N224" s="1">
        <v>0.09</v>
      </c>
      <c r="O224" s="1">
        <v>1500</v>
      </c>
      <c r="P224" s="1">
        <v>12.5</v>
      </c>
      <c r="Q224" s="1" t="s">
        <v>38</v>
      </c>
      <c r="R224" s="1" t="s">
        <v>61</v>
      </c>
      <c r="S224" s="1" t="s">
        <v>68</v>
      </c>
      <c r="T224" s="1"/>
      <c r="U224" s="1" t="s">
        <v>101</v>
      </c>
      <c r="V224" s="1" t="s">
        <v>346</v>
      </c>
      <c r="W224" s="1"/>
      <c r="X224" s="1" t="s">
        <v>1026</v>
      </c>
      <c r="Y224" s="1" t="s">
        <v>299</v>
      </c>
      <c r="Z224" s="1" t="s">
        <v>43</v>
      </c>
      <c r="AA224" s="1">
        <v>2012</v>
      </c>
      <c r="AB224" s="1" t="s">
        <v>375</v>
      </c>
      <c r="AC224" s="1" t="s">
        <v>45</v>
      </c>
      <c r="AD224" s="1" t="s">
        <v>43</v>
      </c>
      <c r="AE224" s="1" t="s">
        <v>43</v>
      </c>
      <c r="AF224" s="1"/>
      <c r="AG224" s="1" t="s">
        <v>43</v>
      </c>
      <c r="AH224" s="2">
        <v>46167</v>
      </c>
    </row>
    <row r="225" spans="1:34" x14ac:dyDescent="0.3">
      <c r="A225" s="1">
        <v>7593806</v>
      </c>
      <c r="B225" s="1">
        <v>12.01</v>
      </c>
      <c r="C225" s="1">
        <v>1099</v>
      </c>
      <c r="D225" s="1">
        <v>1249</v>
      </c>
      <c r="E225" s="1" t="s">
        <v>43</v>
      </c>
      <c r="F225" s="1">
        <v>0</v>
      </c>
      <c r="G225" s="1" t="s">
        <v>1029</v>
      </c>
      <c r="H225" s="1" t="s">
        <v>812</v>
      </c>
      <c r="I225" s="1" t="str">
        <f>HYPERLINK("https://www.systembolaget.se/produkt/vin/graacher-himmelreich-riesling-spatlese-7593806/","https://www.systembolaget.se/produkt/vin/graacher-himmelreich-riesling-spatlese-7593806/")</f>
        <v>https://www.systembolaget.se/produkt/vin/graacher-himmelreich-riesling-spatlese-7593806/</v>
      </c>
      <c r="J225" s="1">
        <v>8.34</v>
      </c>
      <c r="K225" s="1">
        <v>12.01</v>
      </c>
      <c r="L225" s="2">
        <v>45837</v>
      </c>
      <c r="M225" s="1" t="s">
        <v>1030</v>
      </c>
      <c r="N225" s="1">
        <v>0.12</v>
      </c>
      <c r="O225" s="1">
        <v>1500</v>
      </c>
      <c r="P225" s="1">
        <v>9</v>
      </c>
      <c r="Q225" s="1" t="s">
        <v>38</v>
      </c>
      <c r="R225" s="1" t="s">
        <v>39</v>
      </c>
      <c r="S225" s="1"/>
      <c r="T225" s="1"/>
      <c r="U225" s="1" t="s">
        <v>119</v>
      </c>
      <c r="V225" s="1" t="s">
        <v>814</v>
      </c>
      <c r="W225" s="1"/>
      <c r="X225" s="1" t="s">
        <v>815</v>
      </c>
      <c r="Y225" s="1" t="s">
        <v>678</v>
      </c>
      <c r="Z225" s="1" t="s">
        <v>43</v>
      </c>
      <c r="AA225" s="1">
        <v>2023</v>
      </c>
      <c r="AB225" s="1" t="s">
        <v>77</v>
      </c>
      <c r="AC225" s="1" t="s">
        <v>45</v>
      </c>
      <c r="AD225" s="1" t="s">
        <v>43</v>
      </c>
      <c r="AE225" s="1" t="s">
        <v>43</v>
      </c>
      <c r="AF225" s="1"/>
      <c r="AG225" s="1" t="s">
        <v>43</v>
      </c>
      <c r="AH225" s="2">
        <v>45845</v>
      </c>
    </row>
    <row r="226" spans="1:34" x14ac:dyDescent="0.3">
      <c r="A226" s="1">
        <v>8733901</v>
      </c>
      <c r="B226" s="1">
        <v>12.01</v>
      </c>
      <c r="C226" s="1">
        <v>498</v>
      </c>
      <c r="D226" s="1">
        <v>566</v>
      </c>
      <c r="E226" s="1" t="s">
        <v>43</v>
      </c>
      <c r="F226" s="1">
        <v>0</v>
      </c>
      <c r="G226" s="1" t="s">
        <v>1031</v>
      </c>
      <c r="H226" s="1"/>
      <c r="I226" s="1" t="str">
        <f>HYPERLINK("https://www.systembolaget.se/produkt/sprit/westerhall-no-3-8733901/","https://www.systembolaget.se/produkt/sprit/westerhall-no-3-8733901/")</f>
        <v>https://www.systembolaget.se/produkt/sprit/westerhall-no-3-8733901/</v>
      </c>
      <c r="J226" s="1">
        <v>12.01</v>
      </c>
      <c r="K226" s="1">
        <v>12.01</v>
      </c>
      <c r="L226" s="2">
        <v>45430</v>
      </c>
      <c r="M226" s="1" t="s">
        <v>1032</v>
      </c>
      <c r="N226" s="1">
        <v>0.56000000000000005</v>
      </c>
      <c r="O226" s="1">
        <v>700</v>
      </c>
      <c r="P226" s="1">
        <v>40</v>
      </c>
      <c r="Q226" s="1" t="s">
        <v>308</v>
      </c>
      <c r="R226" s="1" t="s">
        <v>908</v>
      </c>
      <c r="S226" s="1" t="s">
        <v>909</v>
      </c>
      <c r="T226" s="1"/>
      <c r="U226" s="1" t="s">
        <v>910</v>
      </c>
      <c r="V226" s="1"/>
      <c r="W226" s="1"/>
      <c r="X226" s="1" t="s">
        <v>911</v>
      </c>
      <c r="Y226" s="1" t="s">
        <v>857</v>
      </c>
      <c r="Z226" s="1" t="s">
        <v>43</v>
      </c>
      <c r="AA226" s="1"/>
      <c r="AB226" s="1" t="s">
        <v>44</v>
      </c>
      <c r="AC226" s="1" t="s">
        <v>45</v>
      </c>
      <c r="AD226" s="1" t="s">
        <v>43</v>
      </c>
      <c r="AE226" s="1" t="s">
        <v>43</v>
      </c>
      <c r="AF226" s="1"/>
      <c r="AG226" s="1" t="s">
        <v>43</v>
      </c>
      <c r="AH226" s="2">
        <v>43591</v>
      </c>
    </row>
    <row r="227" spans="1:34" x14ac:dyDescent="0.3">
      <c r="A227" s="1">
        <v>7973201</v>
      </c>
      <c r="B227" s="1">
        <v>11.93</v>
      </c>
      <c r="C227" s="1">
        <v>369</v>
      </c>
      <c r="D227" s="1">
        <v>419</v>
      </c>
      <c r="E227" s="1" t="s">
        <v>43</v>
      </c>
      <c r="F227" s="1">
        <v>0</v>
      </c>
      <c r="G227" s="1" t="s">
        <v>947</v>
      </c>
      <c r="H227" s="1" t="s">
        <v>281</v>
      </c>
      <c r="I227" s="1" t="str">
        <f>HYPERLINK("https://www.systembolaget.se/produkt/vin/seven-springs-7973201/","https://www.systembolaget.se/produkt/vin/seven-springs-7973201/")</f>
        <v>https://www.systembolaget.se/produkt/vin/seven-springs-7973201/</v>
      </c>
      <c r="J227" s="1">
        <v>11.93</v>
      </c>
      <c r="K227" s="1">
        <v>11.93</v>
      </c>
      <c r="L227" s="2">
        <v>45957</v>
      </c>
      <c r="M227" s="1" t="s">
        <v>1033</v>
      </c>
      <c r="N227" s="1">
        <v>0.25</v>
      </c>
      <c r="O227" s="1">
        <v>750</v>
      </c>
      <c r="P227" s="1">
        <v>12.5</v>
      </c>
      <c r="Q227" s="1" t="s">
        <v>38</v>
      </c>
      <c r="R227" s="1" t="s">
        <v>39</v>
      </c>
      <c r="S227" s="1"/>
      <c r="T227" s="1"/>
      <c r="U227" s="1" t="s">
        <v>73</v>
      </c>
      <c r="V227" s="1" t="s">
        <v>676</v>
      </c>
      <c r="W227" s="1" t="s">
        <v>677</v>
      </c>
      <c r="X227" s="1" t="s">
        <v>950</v>
      </c>
      <c r="Y227" s="1" t="s">
        <v>103</v>
      </c>
      <c r="Z227" s="1" t="s">
        <v>43</v>
      </c>
      <c r="AA227" s="1">
        <v>2019</v>
      </c>
      <c r="AB227" s="1" t="s">
        <v>44</v>
      </c>
      <c r="AC227" s="1" t="s">
        <v>45</v>
      </c>
      <c r="AD227" s="1" t="s">
        <v>43</v>
      </c>
      <c r="AE227" s="1" t="s">
        <v>43</v>
      </c>
      <c r="AF227" s="1"/>
      <c r="AG227" s="1" t="s">
        <v>43</v>
      </c>
      <c r="AH227" s="2">
        <v>45964</v>
      </c>
    </row>
    <row r="228" spans="1:34" x14ac:dyDescent="0.3">
      <c r="A228" s="1">
        <v>8587401</v>
      </c>
      <c r="B228" s="1">
        <v>11.84</v>
      </c>
      <c r="C228" s="1">
        <v>499</v>
      </c>
      <c r="D228" s="1">
        <v>566</v>
      </c>
      <c r="E228" s="1" t="s">
        <v>43</v>
      </c>
      <c r="F228" s="1">
        <v>0</v>
      </c>
      <c r="G228" s="1" t="s">
        <v>1034</v>
      </c>
      <c r="H228" s="1" t="s">
        <v>1035</v>
      </c>
      <c r="I228" s="1" t="str">
        <f>HYPERLINK("https://www.systembolaget.se/produkt/sprit/le-philtre-8587401/","https://www.systembolaget.se/produkt/sprit/le-philtre-8587401/")</f>
        <v>https://www.systembolaget.se/produkt/sprit/le-philtre-8587401/</v>
      </c>
      <c r="J228" s="1">
        <v>11.84</v>
      </c>
      <c r="K228" s="1">
        <v>11.84</v>
      </c>
      <c r="L228" s="2">
        <v>45389</v>
      </c>
      <c r="M228" s="1" t="s">
        <v>1036</v>
      </c>
      <c r="N228" s="1">
        <v>0.56000000000000005</v>
      </c>
      <c r="O228" s="1">
        <v>700</v>
      </c>
      <c r="P228" s="1">
        <v>40</v>
      </c>
      <c r="Q228" s="1" t="s">
        <v>308</v>
      </c>
      <c r="R228" s="1" t="s">
        <v>323</v>
      </c>
      <c r="S228" s="1" t="s">
        <v>324</v>
      </c>
      <c r="T228" s="1"/>
      <c r="U228" s="1" t="s">
        <v>101</v>
      </c>
      <c r="V228" s="1"/>
      <c r="W228" s="1"/>
      <c r="X228" s="1" t="s">
        <v>1034</v>
      </c>
      <c r="Y228" s="1" t="s">
        <v>933</v>
      </c>
      <c r="Z228" s="1" t="s">
        <v>46</v>
      </c>
      <c r="AA228" s="1"/>
      <c r="AB228" s="1" t="s">
        <v>44</v>
      </c>
      <c r="AC228" s="1" t="s">
        <v>45</v>
      </c>
      <c r="AD228" s="1" t="s">
        <v>43</v>
      </c>
      <c r="AE228" s="1" t="s">
        <v>43</v>
      </c>
      <c r="AF228" s="1"/>
      <c r="AG228" s="1" t="s">
        <v>43</v>
      </c>
      <c r="AH228" s="2">
        <v>45230</v>
      </c>
    </row>
    <row r="229" spans="1:34" x14ac:dyDescent="0.3">
      <c r="A229" s="1">
        <v>7965001</v>
      </c>
      <c r="B229" s="1">
        <v>11.83</v>
      </c>
      <c r="C229" s="1">
        <v>149</v>
      </c>
      <c r="D229" s="1">
        <v>169</v>
      </c>
      <c r="E229" s="1" t="s">
        <v>43</v>
      </c>
      <c r="F229" s="1">
        <v>0</v>
      </c>
      <c r="G229" s="1" t="s">
        <v>1037</v>
      </c>
      <c r="H229" s="1"/>
      <c r="I229" s="1" t="str">
        <f>HYPERLINK("https://www.systembolaget.se/produkt/vin/cantos-de-valpiedra-7965001/","https://www.systembolaget.se/produkt/vin/cantos-de-valpiedra-7965001/")</f>
        <v>https://www.systembolaget.se/produkt/vin/cantos-de-valpiedra-7965001/</v>
      </c>
      <c r="J229" s="1">
        <v>11.83</v>
      </c>
      <c r="K229" s="1">
        <v>11.83</v>
      </c>
      <c r="L229" s="2">
        <v>45398</v>
      </c>
      <c r="M229" s="1" t="s">
        <v>1038</v>
      </c>
      <c r="N229" s="1">
        <v>0.68</v>
      </c>
      <c r="O229" s="1">
        <v>750</v>
      </c>
      <c r="P229" s="1">
        <v>13.5</v>
      </c>
      <c r="Q229" s="1" t="s">
        <v>38</v>
      </c>
      <c r="R229" s="1" t="s">
        <v>52</v>
      </c>
      <c r="S229" s="1"/>
      <c r="T229" s="1"/>
      <c r="U229" s="1" t="s">
        <v>164</v>
      </c>
      <c r="V229" s="1" t="s">
        <v>192</v>
      </c>
      <c r="W229" s="1"/>
      <c r="X229" s="1" t="s">
        <v>1039</v>
      </c>
      <c r="Y229" s="1" t="s">
        <v>1040</v>
      </c>
      <c r="Z229" s="1" t="s">
        <v>43</v>
      </c>
      <c r="AA229" s="1">
        <v>2021</v>
      </c>
      <c r="AB229" s="1" t="s">
        <v>44</v>
      </c>
      <c r="AC229" s="1" t="s">
        <v>45</v>
      </c>
      <c r="AD229" s="1" t="s">
        <v>43</v>
      </c>
      <c r="AE229" s="1" t="s">
        <v>43</v>
      </c>
      <c r="AF229" s="1"/>
      <c r="AG229" s="1" t="s">
        <v>43</v>
      </c>
      <c r="AH229" s="2">
        <v>41456</v>
      </c>
    </row>
    <row r="230" spans="1:34" x14ac:dyDescent="0.3">
      <c r="A230" s="1">
        <v>7894501</v>
      </c>
      <c r="B230" s="1">
        <v>11.83</v>
      </c>
      <c r="C230" s="1">
        <v>149</v>
      </c>
      <c r="D230" s="1">
        <v>169</v>
      </c>
      <c r="E230" s="1" t="s">
        <v>43</v>
      </c>
      <c r="F230" s="1">
        <v>0</v>
      </c>
      <c r="G230" s="1" t="s">
        <v>1041</v>
      </c>
      <c r="H230" s="1" t="s">
        <v>1042</v>
      </c>
      <c r="I230" s="1" t="str">
        <f>HYPERLINK("https://www.systembolaget.se/produkt/vin/nivarius-7894501/","https://www.systembolaget.se/produkt/vin/nivarius-7894501/")</f>
        <v>https://www.systembolaget.se/produkt/vin/nivarius-7894501/</v>
      </c>
      <c r="J230" s="1">
        <v>11.83</v>
      </c>
      <c r="K230" s="1">
        <v>11.83</v>
      </c>
      <c r="L230" s="2">
        <v>45901</v>
      </c>
      <c r="M230" s="1" t="s">
        <v>1043</v>
      </c>
      <c r="N230" s="1">
        <v>0.68</v>
      </c>
      <c r="O230" s="1">
        <v>750</v>
      </c>
      <c r="P230" s="1">
        <v>13.5</v>
      </c>
      <c r="Q230" s="1" t="s">
        <v>38</v>
      </c>
      <c r="R230" s="1" t="s">
        <v>39</v>
      </c>
      <c r="S230" s="1"/>
      <c r="T230" s="1"/>
      <c r="U230" s="1" t="s">
        <v>164</v>
      </c>
      <c r="V230" s="1" t="s">
        <v>192</v>
      </c>
      <c r="W230" s="1"/>
      <c r="X230" s="1" t="s">
        <v>1044</v>
      </c>
      <c r="Y230" s="1" t="s">
        <v>1045</v>
      </c>
      <c r="Z230" s="1" t="s">
        <v>43</v>
      </c>
      <c r="AA230" s="1">
        <v>2024</v>
      </c>
      <c r="AB230" s="1" t="s">
        <v>44</v>
      </c>
      <c r="AC230" s="1" t="s">
        <v>45</v>
      </c>
      <c r="AD230" s="1" t="s">
        <v>43</v>
      </c>
      <c r="AE230" s="1" t="s">
        <v>43</v>
      </c>
      <c r="AF230" s="1"/>
      <c r="AG230" s="1" t="s">
        <v>43</v>
      </c>
      <c r="AH230" s="2">
        <v>45908</v>
      </c>
    </row>
    <row r="231" spans="1:34" x14ac:dyDescent="0.3">
      <c r="A231" s="1">
        <v>269507</v>
      </c>
      <c r="B231" s="1">
        <v>11.83</v>
      </c>
      <c r="C231" s="1">
        <v>149</v>
      </c>
      <c r="D231" s="1">
        <v>169</v>
      </c>
      <c r="E231" s="1" t="s">
        <v>43</v>
      </c>
      <c r="F231" s="1">
        <v>0</v>
      </c>
      <c r="G231" s="1" t="s">
        <v>1046</v>
      </c>
      <c r="H231" s="1" t="s">
        <v>1047</v>
      </c>
      <c r="I231" s="1" t="str">
        <f>HYPERLINK("https://www.systembolaget.se/produkt/vin/spring-village-269507/","https://www.systembolaget.se/produkt/vin/spring-village-269507/")</f>
        <v>https://www.systembolaget.se/produkt/vin/spring-village-269507/</v>
      </c>
      <c r="J231" s="1">
        <v>11.83</v>
      </c>
      <c r="K231" s="1">
        <v>11.83</v>
      </c>
      <c r="L231" s="2">
        <v>45420</v>
      </c>
      <c r="M231" s="1" t="s">
        <v>1048</v>
      </c>
      <c r="N231" s="1">
        <v>1.31</v>
      </c>
      <c r="O231" s="1">
        <v>1500</v>
      </c>
      <c r="P231" s="1">
        <v>13</v>
      </c>
      <c r="Q231" s="1" t="s">
        <v>38</v>
      </c>
      <c r="R231" s="1" t="s">
        <v>52</v>
      </c>
      <c r="S231" s="1" t="s">
        <v>386</v>
      </c>
      <c r="T231" s="1"/>
      <c r="U231" s="1" t="s">
        <v>101</v>
      </c>
      <c r="V231" s="1"/>
      <c r="W231" s="1"/>
      <c r="X231" s="1" t="s">
        <v>1049</v>
      </c>
      <c r="Y231" s="1" t="s">
        <v>285</v>
      </c>
      <c r="Z231" s="1" t="s">
        <v>46</v>
      </c>
      <c r="AA231" s="1">
        <v>2023</v>
      </c>
      <c r="AB231" s="1" t="s">
        <v>1050</v>
      </c>
      <c r="AC231" s="1" t="s">
        <v>90</v>
      </c>
      <c r="AD231" s="1" t="s">
        <v>43</v>
      </c>
      <c r="AE231" s="1" t="s">
        <v>43</v>
      </c>
      <c r="AF231" s="1">
        <v>6</v>
      </c>
      <c r="AG231" s="1" t="s">
        <v>43</v>
      </c>
      <c r="AH231" s="2">
        <v>45078</v>
      </c>
    </row>
    <row r="232" spans="1:34" x14ac:dyDescent="0.3">
      <c r="A232" s="1">
        <v>2013001</v>
      </c>
      <c r="B232" s="1">
        <v>11.83</v>
      </c>
      <c r="C232" s="1">
        <v>149</v>
      </c>
      <c r="D232" s="1">
        <v>169</v>
      </c>
      <c r="E232" s="1" t="s">
        <v>43</v>
      </c>
      <c r="F232" s="1">
        <v>0</v>
      </c>
      <c r="G232" s="1" t="s">
        <v>1051</v>
      </c>
      <c r="H232" s="1" t="s">
        <v>1052</v>
      </c>
      <c r="I232" s="1" t="str">
        <f>HYPERLINK("https://www.systembolaget.se/produkt/vin/tumunan-2013001/","https://www.systembolaget.se/produkt/vin/tumunan-2013001/")</f>
        <v>https://www.systembolaget.se/produkt/vin/tumunan-2013001/</v>
      </c>
      <c r="J232" s="1">
        <v>11.83</v>
      </c>
      <c r="K232" s="1">
        <v>11.83</v>
      </c>
      <c r="L232" s="2">
        <v>45696</v>
      </c>
      <c r="M232" s="1" t="s">
        <v>1043</v>
      </c>
      <c r="N232" s="1">
        <v>0.7</v>
      </c>
      <c r="O232" s="1">
        <v>750</v>
      </c>
      <c r="P232" s="1">
        <v>14</v>
      </c>
      <c r="Q232" s="1" t="s">
        <v>38</v>
      </c>
      <c r="R232" s="1" t="s">
        <v>52</v>
      </c>
      <c r="S232" s="1" t="s">
        <v>84</v>
      </c>
      <c r="T232" s="1"/>
      <c r="U232" s="1" t="s">
        <v>360</v>
      </c>
      <c r="V232" s="1" t="s">
        <v>504</v>
      </c>
      <c r="W232" s="1" t="s">
        <v>1053</v>
      </c>
      <c r="X232" s="1" t="s">
        <v>1054</v>
      </c>
      <c r="Y232" s="1" t="s">
        <v>1055</v>
      </c>
      <c r="Z232" s="1" t="s">
        <v>43</v>
      </c>
      <c r="AA232" s="1">
        <v>2021</v>
      </c>
      <c r="AB232" s="1" t="s">
        <v>77</v>
      </c>
      <c r="AC232" s="1" t="s">
        <v>45</v>
      </c>
      <c r="AD232" s="1" t="s">
        <v>43</v>
      </c>
      <c r="AE232" s="1" t="s">
        <v>43</v>
      </c>
      <c r="AF232" s="1">
        <v>2</v>
      </c>
      <c r="AG232" s="1" t="s">
        <v>43</v>
      </c>
      <c r="AH232" s="2">
        <v>45717</v>
      </c>
    </row>
    <row r="233" spans="1:34" x14ac:dyDescent="0.3">
      <c r="A233" s="1">
        <v>3367502</v>
      </c>
      <c r="B233" s="1">
        <v>11.8</v>
      </c>
      <c r="C233" s="1">
        <v>299</v>
      </c>
      <c r="D233" s="1">
        <v>339</v>
      </c>
      <c r="E233" s="1" t="s">
        <v>43</v>
      </c>
      <c r="F233" s="1">
        <v>0</v>
      </c>
      <c r="G233" s="1" t="s">
        <v>1056</v>
      </c>
      <c r="H233" s="1" t="s">
        <v>1057</v>
      </c>
      <c r="I233" s="1" t="str">
        <f>HYPERLINK("https://www.systembolaget.se/produkt/sprit/helsing-3367502/","https://www.systembolaget.se/produkt/sprit/helsing-3367502/")</f>
        <v>https://www.systembolaget.se/produkt/sprit/helsing-3367502/</v>
      </c>
      <c r="J233" s="1">
        <v>11.8</v>
      </c>
      <c r="K233" s="1">
        <v>11.8</v>
      </c>
      <c r="L233" s="2">
        <v>45887</v>
      </c>
      <c r="M233" s="1" t="s">
        <v>1058</v>
      </c>
      <c r="N233" s="1">
        <v>0.72</v>
      </c>
      <c r="O233" s="1">
        <v>500</v>
      </c>
      <c r="P233" s="1">
        <v>43</v>
      </c>
      <c r="Q233" s="1" t="s">
        <v>308</v>
      </c>
      <c r="R233" s="1" t="s">
        <v>487</v>
      </c>
      <c r="S233" s="1" t="s">
        <v>488</v>
      </c>
      <c r="T233" s="1"/>
      <c r="U233" s="1" t="s">
        <v>110</v>
      </c>
      <c r="V233" s="1" t="s">
        <v>694</v>
      </c>
      <c r="W233" s="1" t="s">
        <v>695</v>
      </c>
      <c r="X233" s="1" t="s">
        <v>1059</v>
      </c>
      <c r="Y233" s="1" t="s">
        <v>1060</v>
      </c>
      <c r="Z233" s="1" t="s">
        <v>43</v>
      </c>
      <c r="AA233" s="1"/>
      <c r="AB233" s="1" t="s">
        <v>44</v>
      </c>
      <c r="AC233" s="1" t="s">
        <v>115</v>
      </c>
      <c r="AD233" s="1" t="s">
        <v>43</v>
      </c>
      <c r="AE233" s="1" t="s">
        <v>43</v>
      </c>
      <c r="AF233" s="1">
        <v>2</v>
      </c>
      <c r="AG233" s="1" t="s">
        <v>43</v>
      </c>
      <c r="AH233" s="2">
        <v>45936</v>
      </c>
    </row>
    <row r="234" spans="1:34" x14ac:dyDescent="0.3">
      <c r="A234" s="1">
        <v>7739401</v>
      </c>
      <c r="B234" s="1">
        <v>11.77</v>
      </c>
      <c r="C234" s="1">
        <v>2999</v>
      </c>
      <c r="D234" s="1">
        <v>3399</v>
      </c>
      <c r="E234" s="1" t="s">
        <v>43</v>
      </c>
      <c r="F234" s="1">
        <v>0</v>
      </c>
      <c r="G234" s="1" t="s">
        <v>1061</v>
      </c>
      <c r="H234" s="1" t="s">
        <v>1062</v>
      </c>
      <c r="I234" s="1" t="str">
        <f>HYPERLINK("https://www.systembolaget.se/produkt/vin/corton-et-rognet-grand-cru-7739401/","https://www.systembolaget.se/produkt/vin/corton-et-rognet-grand-cru-7739401/")</f>
        <v>https://www.systembolaget.se/produkt/vin/corton-et-rognet-grand-cru-7739401/</v>
      </c>
      <c r="J234" s="1">
        <v>6.25</v>
      </c>
      <c r="K234" s="1">
        <v>11.77</v>
      </c>
      <c r="L234" s="2">
        <v>45860</v>
      </c>
      <c r="M234" s="1" t="s">
        <v>1063</v>
      </c>
      <c r="N234" s="1">
        <v>0.03</v>
      </c>
      <c r="O234" s="1">
        <v>750</v>
      </c>
      <c r="P234" s="1">
        <v>13.5</v>
      </c>
      <c r="Q234" s="1" t="s">
        <v>38</v>
      </c>
      <c r="R234" s="1" t="s">
        <v>52</v>
      </c>
      <c r="S234" s="1"/>
      <c r="T234" s="1"/>
      <c r="U234" s="1" t="s">
        <v>101</v>
      </c>
      <c r="V234" s="1" t="s">
        <v>142</v>
      </c>
      <c r="W234" s="1" t="s">
        <v>143</v>
      </c>
      <c r="X234" s="1" t="s">
        <v>1064</v>
      </c>
      <c r="Y234" s="1" t="s">
        <v>678</v>
      </c>
      <c r="Z234" s="1" t="s">
        <v>43</v>
      </c>
      <c r="AA234" s="1">
        <v>2022</v>
      </c>
      <c r="AB234" s="1" t="s">
        <v>44</v>
      </c>
      <c r="AC234" s="1" t="s">
        <v>45</v>
      </c>
      <c r="AD234" s="1" t="s">
        <v>43</v>
      </c>
      <c r="AE234" s="1" t="s">
        <v>43</v>
      </c>
      <c r="AF234" s="1"/>
      <c r="AG234" s="1" t="s">
        <v>43</v>
      </c>
      <c r="AH234" s="2">
        <v>45854</v>
      </c>
    </row>
    <row r="235" spans="1:34" x14ac:dyDescent="0.3">
      <c r="A235" s="1">
        <v>7845001</v>
      </c>
      <c r="B235" s="1">
        <v>11.67</v>
      </c>
      <c r="C235" s="1">
        <v>439</v>
      </c>
      <c r="D235" s="1">
        <v>497</v>
      </c>
      <c r="E235" s="1" t="s">
        <v>43</v>
      </c>
      <c r="F235" s="1">
        <v>0</v>
      </c>
      <c r="G235" s="1" t="s">
        <v>901</v>
      </c>
      <c r="H235" s="1" t="s">
        <v>1065</v>
      </c>
      <c r="I235" s="1" t="str">
        <f>HYPERLINK("https://www.systembolaget.se/produkt/vin/viticcio-7845001/","https://www.systembolaget.se/produkt/vin/viticcio-7845001/")</f>
        <v>https://www.systembolaget.se/produkt/vin/viticcio-7845001/</v>
      </c>
      <c r="J235" s="1">
        <v>11.49</v>
      </c>
      <c r="K235" s="1">
        <v>11.67</v>
      </c>
      <c r="L235" s="2">
        <v>45971</v>
      </c>
      <c r="M235" s="1" t="s">
        <v>1066</v>
      </c>
      <c r="N235" s="1">
        <v>0.25</v>
      </c>
      <c r="O235" s="1">
        <v>750</v>
      </c>
      <c r="P235" s="1">
        <v>14.5</v>
      </c>
      <c r="Q235" s="1" t="s">
        <v>38</v>
      </c>
      <c r="R235" s="1" t="s">
        <v>52</v>
      </c>
      <c r="S235" s="1"/>
      <c r="T235" s="1"/>
      <c r="U235" s="1" t="s">
        <v>53</v>
      </c>
      <c r="V235" s="1" t="s">
        <v>63</v>
      </c>
      <c r="W235" s="1" t="s">
        <v>1065</v>
      </c>
      <c r="X235" s="1" t="s">
        <v>904</v>
      </c>
      <c r="Y235" s="1" t="s">
        <v>905</v>
      </c>
      <c r="Z235" s="1" t="s">
        <v>43</v>
      </c>
      <c r="AA235" s="1">
        <v>2022</v>
      </c>
      <c r="AB235" s="1" t="s">
        <v>44</v>
      </c>
      <c r="AC235" s="1" t="s">
        <v>45</v>
      </c>
      <c r="AD235" s="1" t="s">
        <v>43</v>
      </c>
      <c r="AE235" s="1" t="s">
        <v>43</v>
      </c>
      <c r="AF235" s="1"/>
      <c r="AG235" s="1" t="s">
        <v>43</v>
      </c>
      <c r="AH235" s="2">
        <v>45978</v>
      </c>
    </row>
    <row r="236" spans="1:34" x14ac:dyDescent="0.3">
      <c r="A236" s="1">
        <v>3035435</v>
      </c>
      <c r="B236" s="1">
        <v>11.58</v>
      </c>
      <c r="C236" s="1">
        <v>22.9</v>
      </c>
      <c r="D236" s="1">
        <v>25.9</v>
      </c>
      <c r="E236" s="1" t="s">
        <v>43</v>
      </c>
      <c r="F236" s="1">
        <v>0</v>
      </c>
      <c r="G236" s="1" t="s">
        <v>690</v>
      </c>
      <c r="H236" s="1" t="s">
        <v>1067</v>
      </c>
      <c r="I236" s="1" t="str">
        <f>HYPERLINK("https://www.systembolaget.se/produkt/ol/oresunds-angbryggeri-3035435/","https://www.systembolaget.se/produkt/ol/oresunds-angbryggeri-3035435/")</f>
        <v>https://www.systembolaget.se/produkt/ol/oresunds-angbryggeri-3035435/</v>
      </c>
      <c r="J236" s="1">
        <v>11.58</v>
      </c>
      <c r="K236" s="1">
        <v>11.58</v>
      </c>
      <c r="L236" s="2">
        <v>45978</v>
      </c>
      <c r="M236" s="1" t="s">
        <v>1068</v>
      </c>
      <c r="N236" s="1">
        <v>0.81</v>
      </c>
      <c r="O236" s="1">
        <v>330</v>
      </c>
      <c r="P236" s="1">
        <v>5.6</v>
      </c>
      <c r="Q236" s="1" t="s">
        <v>107</v>
      </c>
      <c r="R236" s="1" t="s">
        <v>108</v>
      </c>
      <c r="S236" s="1" t="s">
        <v>790</v>
      </c>
      <c r="T236" s="1"/>
      <c r="U236" s="1" t="s">
        <v>110</v>
      </c>
      <c r="V236" s="1" t="s">
        <v>694</v>
      </c>
      <c r="W236" s="1" t="s">
        <v>695</v>
      </c>
      <c r="X236" s="1" t="s">
        <v>696</v>
      </c>
      <c r="Y236" s="1" t="s">
        <v>697</v>
      </c>
      <c r="Z236" s="1" t="s">
        <v>43</v>
      </c>
      <c r="AA236" s="1"/>
      <c r="AB236" s="1" t="s">
        <v>114</v>
      </c>
      <c r="AC236" s="1" t="s">
        <v>115</v>
      </c>
      <c r="AD236" s="1" t="s">
        <v>43</v>
      </c>
      <c r="AE236" s="1" t="s">
        <v>43</v>
      </c>
      <c r="AF236" s="1"/>
      <c r="AG236" s="1" t="s">
        <v>43</v>
      </c>
      <c r="AH236" s="2">
        <v>45999</v>
      </c>
    </row>
    <row r="237" spans="1:34" x14ac:dyDescent="0.3">
      <c r="A237" s="1">
        <v>3023114</v>
      </c>
      <c r="B237" s="1">
        <v>11.58</v>
      </c>
      <c r="C237" s="1">
        <v>22.9</v>
      </c>
      <c r="D237" s="1">
        <v>25.9</v>
      </c>
      <c r="E237" s="1" t="s">
        <v>43</v>
      </c>
      <c r="F237" s="1">
        <v>0</v>
      </c>
      <c r="G237" s="1" t="s">
        <v>957</v>
      </c>
      <c r="H237" s="1" t="s">
        <v>1069</v>
      </c>
      <c r="I237" s="1" t="str">
        <f>HYPERLINK("https://www.systembolaget.se/produkt/ol/benchwarmers-brewing-3023114/","https://www.systembolaget.se/produkt/ol/benchwarmers-brewing-3023114/")</f>
        <v>https://www.systembolaget.se/produkt/ol/benchwarmers-brewing-3023114/</v>
      </c>
      <c r="J237" s="1"/>
      <c r="K237" s="1">
        <v>11.58</v>
      </c>
      <c r="L237" s="2">
        <v>46216</v>
      </c>
      <c r="M237" s="1" t="s">
        <v>1068</v>
      </c>
      <c r="N237" s="1">
        <v>0.88</v>
      </c>
      <c r="O237" s="1">
        <v>440</v>
      </c>
      <c r="P237" s="1">
        <v>4.5999999999999996</v>
      </c>
      <c r="Q237" s="1" t="s">
        <v>107</v>
      </c>
      <c r="R237" s="1" t="s">
        <v>134</v>
      </c>
      <c r="S237" s="1" t="s">
        <v>243</v>
      </c>
      <c r="T237" s="1"/>
      <c r="U237" s="1" t="s">
        <v>110</v>
      </c>
      <c r="V237" s="1" t="s">
        <v>694</v>
      </c>
      <c r="W237" s="1" t="s">
        <v>695</v>
      </c>
      <c r="X237" s="1" t="s">
        <v>696</v>
      </c>
      <c r="Y237" s="1" t="s">
        <v>697</v>
      </c>
      <c r="Z237" s="1" t="s">
        <v>43</v>
      </c>
      <c r="AA237" s="1"/>
      <c r="AB237" s="1" t="s">
        <v>114</v>
      </c>
      <c r="AC237" s="1" t="s">
        <v>115</v>
      </c>
      <c r="AD237" s="1" t="s">
        <v>43</v>
      </c>
      <c r="AE237" s="1" t="s">
        <v>43</v>
      </c>
      <c r="AF237" s="1"/>
      <c r="AG237" s="1" t="s">
        <v>43</v>
      </c>
      <c r="AH237" s="2">
        <v>46237</v>
      </c>
    </row>
    <row r="238" spans="1:34" x14ac:dyDescent="0.3">
      <c r="A238" s="1">
        <v>48301</v>
      </c>
      <c r="B238" s="1">
        <v>11.58</v>
      </c>
      <c r="C238" s="1">
        <v>229</v>
      </c>
      <c r="D238" s="1">
        <v>259</v>
      </c>
      <c r="E238" s="1" t="s">
        <v>43</v>
      </c>
      <c r="F238" s="1">
        <v>0</v>
      </c>
      <c r="G238" s="1" t="s">
        <v>1070</v>
      </c>
      <c r="H238" s="1"/>
      <c r="I238" s="1" t="str">
        <f>HYPERLINK("https://www.systembolaget.se/produkt/sprit/stewart-s-48301/","https://www.systembolaget.se/produkt/sprit/stewart-s-48301/")</f>
        <v>https://www.systembolaget.se/produkt/sprit/stewart-s-48301/</v>
      </c>
      <c r="J238" s="1">
        <v>10.199999999999999</v>
      </c>
      <c r="K238" s="1">
        <v>11.58</v>
      </c>
      <c r="L238" s="2">
        <v>45389</v>
      </c>
      <c r="M238" s="1" t="s">
        <v>1071</v>
      </c>
      <c r="N238" s="1">
        <v>1.22</v>
      </c>
      <c r="O238" s="1">
        <v>700</v>
      </c>
      <c r="P238" s="1">
        <v>40</v>
      </c>
      <c r="Q238" s="1" t="s">
        <v>308</v>
      </c>
      <c r="R238" s="1" t="s">
        <v>309</v>
      </c>
      <c r="S238" s="1" t="s">
        <v>1072</v>
      </c>
      <c r="T238" s="1"/>
      <c r="U238" s="1" t="s">
        <v>253</v>
      </c>
      <c r="V238" s="1" t="s">
        <v>254</v>
      </c>
      <c r="W238" s="1"/>
      <c r="X238" s="1" t="s">
        <v>1073</v>
      </c>
      <c r="Y238" s="1" t="s">
        <v>285</v>
      </c>
      <c r="Z238" s="1" t="s">
        <v>43</v>
      </c>
      <c r="AA238" s="1"/>
      <c r="AB238" s="1" t="s">
        <v>77</v>
      </c>
      <c r="AC238" s="1" t="s">
        <v>45</v>
      </c>
      <c r="AD238" s="1" t="s">
        <v>43</v>
      </c>
      <c r="AE238" s="1" t="s">
        <v>43</v>
      </c>
      <c r="AF238" s="1">
        <v>2</v>
      </c>
      <c r="AG238" s="1" t="s">
        <v>43</v>
      </c>
      <c r="AH238" s="2">
        <v>34243</v>
      </c>
    </row>
    <row r="239" spans="1:34" x14ac:dyDescent="0.3">
      <c r="A239" s="1">
        <v>8401301</v>
      </c>
      <c r="B239" s="1">
        <v>11.58</v>
      </c>
      <c r="C239" s="1">
        <v>1138</v>
      </c>
      <c r="D239" s="1">
        <v>1287</v>
      </c>
      <c r="E239" s="1" t="s">
        <v>43</v>
      </c>
      <c r="F239" s="1">
        <v>0</v>
      </c>
      <c r="G239" s="1" t="s">
        <v>1074</v>
      </c>
      <c r="H239" s="1" t="s">
        <v>1075</v>
      </c>
      <c r="I239" s="1" t="str">
        <f>HYPERLINK("https://www.systembolaget.se/produkt/sprit/inchmurrin-deep-creatures-96-97-8401301/","https://www.systembolaget.se/produkt/sprit/inchmurrin-deep-creatures-96-97-8401301/")</f>
        <v>https://www.systembolaget.se/produkt/sprit/inchmurrin-deep-creatures-96-97-8401301/</v>
      </c>
      <c r="J239" s="1">
        <v>11.51</v>
      </c>
      <c r="K239" s="1">
        <v>11.58</v>
      </c>
      <c r="L239" s="2">
        <v>45469</v>
      </c>
      <c r="M239" s="1" t="s">
        <v>1076</v>
      </c>
      <c r="N239" s="1">
        <v>0.36</v>
      </c>
      <c r="O239" s="1">
        <v>700</v>
      </c>
      <c r="P239" s="1">
        <v>58.1</v>
      </c>
      <c r="Q239" s="1" t="s">
        <v>308</v>
      </c>
      <c r="R239" s="1" t="s">
        <v>309</v>
      </c>
      <c r="S239" s="1" t="s">
        <v>318</v>
      </c>
      <c r="T239" s="1"/>
      <c r="U239" s="1" t="s">
        <v>253</v>
      </c>
      <c r="V239" s="1" t="s">
        <v>254</v>
      </c>
      <c r="W239" s="1" t="s">
        <v>721</v>
      </c>
      <c r="X239" s="1" t="s">
        <v>1077</v>
      </c>
      <c r="Y239" s="1" t="s">
        <v>857</v>
      </c>
      <c r="Z239" s="1" t="s">
        <v>43</v>
      </c>
      <c r="AA239" s="1"/>
      <c r="AB239" s="1" t="s">
        <v>44</v>
      </c>
      <c r="AC239" s="1" t="s">
        <v>45</v>
      </c>
      <c r="AD239" s="1" t="s">
        <v>43</v>
      </c>
      <c r="AE239" s="1" t="s">
        <v>43</v>
      </c>
      <c r="AF239" s="1"/>
      <c r="AG239" s="1" t="s">
        <v>43</v>
      </c>
      <c r="AH239" s="2">
        <v>45476</v>
      </c>
    </row>
    <row r="240" spans="1:34" x14ac:dyDescent="0.3">
      <c r="A240" s="1">
        <v>3339534</v>
      </c>
      <c r="B240" s="1">
        <v>11.45</v>
      </c>
      <c r="C240" s="1">
        <v>48.7</v>
      </c>
      <c r="D240" s="1">
        <v>55</v>
      </c>
      <c r="E240" s="1" t="s">
        <v>34</v>
      </c>
      <c r="F240" s="1">
        <v>0</v>
      </c>
      <c r="G240" s="1" t="s">
        <v>1078</v>
      </c>
      <c r="H240" s="1" t="s">
        <v>1079</v>
      </c>
      <c r="I240" s="1" t="str">
        <f>HYPERLINK("https://www.systembolaget.se/produkt/ol/saro-brewing-3339534/","https://www.systembolaget.se/produkt/ol/saro-brewing-3339534/")</f>
        <v>https://www.systembolaget.se/produkt/ol/saro-brewing-3339534/</v>
      </c>
      <c r="J240" s="1"/>
      <c r="K240" s="1">
        <v>11.45</v>
      </c>
      <c r="L240" s="2">
        <v>46125</v>
      </c>
      <c r="M240" s="1" t="s">
        <v>1080</v>
      </c>
      <c r="N240" s="1">
        <v>0.59</v>
      </c>
      <c r="O240" s="1">
        <v>440</v>
      </c>
      <c r="P240" s="1">
        <v>6.5</v>
      </c>
      <c r="Q240" s="1" t="s">
        <v>107</v>
      </c>
      <c r="R240" s="1" t="s">
        <v>108</v>
      </c>
      <c r="S240" s="1" t="s">
        <v>109</v>
      </c>
      <c r="T240" s="1"/>
      <c r="U240" s="1" t="s">
        <v>110</v>
      </c>
      <c r="V240" s="1" t="s">
        <v>1081</v>
      </c>
      <c r="W240" s="1" t="s">
        <v>1082</v>
      </c>
      <c r="X240" s="1" t="s">
        <v>1083</v>
      </c>
      <c r="Y240" s="1" t="s">
        <v>1084</v>
      </c>
      <c r="Z240" s="1" t="s">
        <v>43</v>
      </c>
      <c r="AA240" s="1"/>
      <c r="AB240" s="1" t="s">
        <v>114</v>
      </c>
      <c r="AC240" s="1" t="s">
        <v>115</v>
      </c>
      <c r="AD240" s="1" t="s">
        <v>43</v>
      </c>
      <c r="AE240" s="1" t="s">
        <v>43</v>
      </c>
      <c r="AF240" s="1"/>
      <c r="AG240" s="1" t="s">
        <v>43</v>
      </c>
      <c r="AH240" s="2">
        <v>46146</v>
      </c>
    </row>
    <row r="241" spans="1:34" x14ac:dyDescent="0.3">
      <c r="A241" s="1">
        <v>8184501</v>
      </c>
      <c r="B241" s="1">
        <v>11.41</v>
      </c>
      <c r="C241" s="1">
        <v>699</v>
      </c>
      <c r="D241" s="1">
        <v>789</v>
      </c>
      <c r="E241" s="1" t="s">
        <v>43</v>
      </c>
      <c r="F241" s="1">
        <v>0</v>
      </c>
      <c r="G241" s="1" t="s">
        <v>638</v>
      </c>
      <c r="H241" s="1" t="s">
        <v>1085</v>
      </c>
      <c r="I241" s="1" t="str">
        <f>HYPERLINK("https://www.systembolaget.se/produkt/sprit/smokehead-8184501/","https://www.systembolaget.se/produkt/sprit/smokehead-8184501/")</f>
        <v>https://www.systembolaget.se/produkt/sprit/smokehead-8184501/</v>
      </c>
      <c r="J241" s="1">
        <v>11.41</v>
      </c>
      <c r="K241" s="1">
        <v>11.41</v>
      </c>
      <c r="L241" s="2">
        <v>45389</v>
      </c>
      <c r="M241" s="1" t="s">
        <v>1086</v>
      </c>
      <c r="N241" s="1">
        <v>0.57999999999999996</v>
      </c>
      <c r="O241" s="1">
        <v>700</v>
      </c>
      <c r="P241" s="1">
        <v>58</v>
      </c>
      <c r="Q241" s="1" t="s">
        <v>308</v>
      </c>
      <c r="R241" s="1" t="s">
        <v>309</v>
      </c>
      <c r="S241" s="1" t="s">
        <v>318</v>
      </c>
      <c r="T241" s="1"/>
      <c r="U241" s="1" t="s">
        <v>253</v>
      </c>
      <c r="V241" s="1" t="s">
        <v>254</v>
      </c>
      <c r="W241" s="1" t="s">
        <v>641</v>
      </c>
      <c r="X241" s="1" t="s">
        <v>642</v>
      </c>
      <c r="Y241" s="1" t="s">
        <v>256</v>
      </c>
      <c r="Z241" s="1" t="s">
        <v>43</v>
      </c>
      <c r="AA241" s="1"/>
      <c r="AB241" s="1" t="s">
        <v>44</v>
      </c>
      <c r="AC241" s="1" t="s">
        <v>45</v>
      </c>
      <c r="AD241" s="1" t="s">
        <v>43</v>
      </c>
      <c r="AE241" s="1" t="s">
        <v>43</v>
      </c>
      <c r="AF241" s="1"/>
      <c r="AG241" s="1" t="s">
        <v>43</v>
      </c>
      <c r="AH241" s="2">
        <v>43486</v>
      </c>
    </row>
    <row r="242" spans="1:34" x14ac:dyDescent="0.3">
      <c r="A242" s="1">
        <v>7898101</v>
      </c>
      <c r="B242" s="1">
        <v>11.31</v>
      </c>
      <c r="C242" s="1">
        <v>549</v>
      </c>
      <c r="D242" s="1">
        <v>619</v>
      </c>
      <c r="E242" s="1" t="s">
        <v>43</v>
      </c>
      <c r="F242" s="1">
        <v>0</v>
      </c>
      <c r="G242" s="1" t="s">
        <v>1087</v>
      </c>
      <c r="H242" s="1" t="s">
        <v>1088</v>
      </c>
      <c r="I242" s="1" t="str">
        <f>HYPERLINK("https://www.systembolaget.se/produkt/vin/domaine-battault-7898101/","https://www.systembolaget.se/produkt/vin/domaine-battault-7898101/")</f>
        <v>https://www.systembolaget.se/produkt/vin/domaine-battault-7898101/</v>
      </c>
      <c r="J242" s="1"/>
      <c r="K242" s="1">
        <v>11.31</v>
      </c>
      <c r="L242" s="2">
        <v>46090</v>
      </c>
      <c r="M242" s="1" t="s">
        <v>1089</v>
      </c>
      <c r="N242" s="1">
        <v>0.18</v>
      </c>
      <c r="O242" s="1">
        <v>750</v>
      </c>
      <c r="P242" s="1">
        <v>13.5</v>
      </c>
      <c r="Q242" s="1" t="s">
        <v>38</v>
      </c>
      <c r="R242" s="1" t="s">
        <v>39</v>
      </c>
      <c r="S242" s="1"/>
      <c r="T242" s="1"/>
      <c r="U242" s="1" t="s">
        <v>101</v>
      </c>
      <c r="V242" s="1" t="s">
        <v>142</v>
      </c>
      <c r="W242" s="1"/>
      <c r="X242" s="1" t="s">
        <v>1090</v>
      </c>
      <c r="Y242" s="1" t="s">
        <v>905</v>
      </c>
      <c r="Z242" s="1" t="s">
        <v>43</v>
      </c>
      <c r="AA242" s="1">
        <v>2023</v>
      </c>
      <c r="AB242" s="1" t="s">
        <v>44</v>
      </c>
      <c r="AC242" s="1" t="s">
        <v>45</v>
      </c>
      <c r="AD242" s="1" t="s">
        <v>43</v>
      </c>
      <c r="AE242" s="1" t="s">
        <v>43</v>
      </c>
      <c r="AF242" s="1"/>
      <c r="AG242" s="1" t="s">
        <v>43</v>
      </c>
      <c r="AH242" s="2">
        <v>46097</v>
      </c>
    </row>
    <row r="243" spans="1:34" x14ac:dyDescent="0.3">
      <c r="A243" s="1">
        <v>7931701</v>
      </c>
      <c r="B243" s="1">
        <v>11.31</v>
      </c>
      <c r="C243" s="1">
        <v>549</v>
      </c>
      <c r="D243" s="1">
        <v>619</v>
      </c>
      <c r="E243" s="1" t="s">
        <v>43</v>
      </c>
      <c r="F243" s="1">
        <v>0</v>
      </c>
      <c r="G243" s="1" t="s">
        <v>1087</v>
      </c>
      <c r="H243" s="1" t="s">
        <v>1091</v>
      </c>
      <c r="I243" s="1" t="str">
        <f>HYPERLINK("https://www.systembolaget.se/produkt/vin/domaine-battault-7931701/","https://www.systembolaget.se/produkt/vin/domaine-battault-7931701/")</f>
        <v>https://www.systembolaget.se/produkt/vin/domaine-battault-7931701/</v>
      </c>
      <c r="J243" s="1"/>
      <c r="K243" s="1">
        <v>11.31</v>
      </c>
      <c r="L243" s="2">
        <v>46090</v>
      </c>
      <c r="M243" s="1" t="s">
        <v>1089</v>
      </c>
      <c r="N243" s="1">
        <v>0.18</v>
      </c>
      <c r="O243" s="1">
        <v>750</v>
      </c>
      <c r="P243" s="1">
        <v>13.5</v>
      </c>
      <c r="Q243" s="1" t="s">
        <v>38</v>
      </c>
      <c r="R243" s="1" t="s">
        <v>52</v>
      </c>
      <c r="S243" s="1"/>
      <c r="T243" s="1"/>
      <c r="U243" s="1" t="s">
        <v>101</v>
      </c>
      <c r="V243" s="1" t="s">
        <v>142</v>
      </c>
      <c r="W243" s="1"/>
      <c r="X243" s="1" t="s">
        <v>1090</v>
      </c>
      <c r="Y243" s="1" t="s">
        <v>905</v>
      </c>
      <c r="Z243" s="1" t="s">
        <v>43</v>
      </c>
      <c r="AA243" s="1">
        <v>2023</v>
      </c>
      <c r="AB243" s="1" t="s">
        <v>44</v>
      </c>
      <c r="AC243" s="1" t="s">
        <v>45</v>
      </c>
      <c r="AD243" s="1" t="s">
        <v>43</v>
      </c>
      <c r="AE243" s="1" t="s">
        <v>43</v>
      </c>
      <c r="AF243" s="1"/>
      <c r="AG243" s="1" t="s">
        <v>43</v>
      </c>
      <c r="AH243" s="2">
        <v>46097</v>
      </c>
    </row>
    <row r="244" spans="1:34" x14ac:dyDescent="0.3">
      <c r="A244" s="1">
        <v>7695201</v>
      </c>
      <c r="B244" s="1">
        <v>11.31</v>
      </c>
      <c r="C244" s="1">
        <v>549</v>
      </c>
      <c r="D244" s="1">
        <v>619</v>
      </c>
      <c r="E244" s="1" t="s">
        <v>43</v>
      </c>
      <c r="F244" s="1">
        <v>0</v>
      </c>
      <c r="G244" s="1" t="s">
        <v>1087</v>
      </c>
      <c r="H244" s="1" t="s">
        <v>1092</v>
      </c>
      <c r="I244" s="1" t="str">
        <f>HYPERLINK("https://www.systembolaget.se/produkt/vin/domaine-battault-7695201/","https://www.systembolaget.se/produkt/vin/domaine-battault-7695201/")</f>
        <v>https://www.systembolaget.se/produkt/vin/domaine-battault-7695201/</v>
      </c>
      <c r="J244" s="1"/>
      <c r="K244" s="1">
        <v>11.31</v>
      </c>
      <c r="L244" s="2">
        <v>46104</v>
      </c>
      <c r="M244" s="1" t="s">
        <v>1089</v>
      </c>
      <c r="N244" s="1">
        <v>0.18</v>
      </c>
      <c r="O244" s="1">
        <v>750</v>
      </c>
      <c r="P244" s="1">
        <v>13.5</v>
      </c>
      <c r="Q244" s="1" t="s">
        <v>38</v>
      </c>
      <c r="R244" s="1" t="s">
        <v>52</v>
      </c>
      <c r="S244" s="1"/>
      <c r="T244" s="1"/>
      <c r="U244" s="1" t="s">
        <v>101</v>
      </c>
      <c r="V244" s="1" t="s">
        <v>142</v>
      </c>
      <c r="W244" s="1"/>
      <c r="X244" s="1" t="s">
        <v>1090</v>
      </c>
      <c r="Y244" s="1" t="s">
        <v>905</v>
      </c>
      <c r="Z244" s="1" t="s">
        <v>43</v>
      </c>
      <c r="AA244" s="1">
        <v>2022</v>
      </c>
      <c r="AB244" s="1" t="s">
        <v>44</v>
      </c>
      <c r="AC244" s="1" t="s">
        <v>45</v>
      </c>
      <c r="AD244" s="1" t="s">
        <v>43</v>
      </c>
      <c r="AE244" s="1" t="s">
        <v>43</v>
      </c>
      <c r="AF244" s="1"/>
      <c r="AG244" s="1" t="s">
        <v>43</v>
      </c>
      <c r="AH244" s="2">
        <v>46111</v>
      </c>
    </row>
    <row r="245" spans="1:34" x14ac:dyDescent="0.3">
      <c r="A245" s="1">
        <v>7883201</v>
      </c>
      <c r="B245" s="1">
        <v>11.24</v>
      </c>
      <c r="C245" s="1">
        <v>79</v>
      </c>
      <c r="D245" s="1">
        <v>89</v>
      </c>
      <c r="E245" s="1" t="s">
        <v>43</v>
      </c>
      <c r="F245" s="1">
        <v>0</v>
      </c>
      <c r="G245" s="1" t="s">
        <v>1093</v>
      </c>
      <c r="H245" s="1" t="s">
        <v>1094</v>
      </c>
      <c r="I245" s="1" t="str">
        <f>HYPERLINK("https://www.systembolaget.se/produkt/vin/fiorissimo-7883201/","https://www.systembolaget.se/produkt/vin/fiorissimo-7883201/")</f>
        <v>https://www.systembolaget.se/produkt/vin/fiorissimo-7883201/</v>
      </c>
      <c r="J245" s="1"/>
      <c r="K245" s="1">
        <v>11.24</v>
      </c>
      <c r="L245" s="2">
        <v>46119</v>
      </c>
      <c r="M245" s="1" t="s">
        <v>1095</v>
      </c>
      <c r="N245" s="1">
        <v>1.1399999999999999</v>
      </c>
      <c r="O245" s="1">
        <v>750</v>
      </c>
      <c r="P245" s="1">
        <v>12</v>
      </c>
      <c r="Q245" s="1" t="s">
        <v>38</v>
      </c>
      <c r="R245" s="1" t="s">
        <v>61</v>
      </c>
      <c r="S245" s="1"/>
      <c r="T245" s="1"/>
      <c r="U245" s="1" t="s">
        <v>53</v>
      </c>
      <c r="V245" s="1"/>
      <c r="W245" s="1"/>
      <c r="X245" s="1" t="s">
        <v>153</v>
      </c>
      <c r="Y245" s="1" t="s">
        <v>153</v>
      </c>
      <c r="Z245" s="1" t="s">
        <v>46</v>
      </c>
      <c r="AA245" s="1"/>
      <c r="AB245" s="1" t="s">
        <v>77</v>
      </c>
      <c r="AC245" s="1" t="s">
        <v>45</v>
      </c>
      <c r="AD245" s="1" t="s">
        <v>43</v>
      </c>
      <c r="AE245" s="1" t="s">
        <v>43</v>
      </c>
      <c r="AF245" s="1"/>
      <c r="AG245" s="1" t="s">
        <v>43</v>
      </c>
      <c r="AH245" s="2">
        <v>46125</v>
      </c>
    </row>
    <row r="246" spans="1:34" x14ac:dyDescent="0.3">
      <c r="A246" s="1">
        <v>7506201</v>
      </c>
      <c r="B246" s="1">
        <v>11.24</v>
      </c>
      <c r="C246" s="1">
        <v>79</v>
      </c>
      <c r="D246" s="1">
        <v>89</v>
      </c>
      <c r="E246" s="1" t="s">
        <v>43</v>
      </c>
      <c r="F246" s="1">
        <v>0</v>
      </c>
      <c r="G246" s="1" t="s">
        <v>1096</v>
      </c>
      <c r="H246" s="1" t="s">
        <v>1097</v>
      </c>
      <c r="I246" s="1" t="str">
        <f>HYPERLINK("https://www.systembolaget.se/produkt/vin/pride-riesling-7506201/","https://www.systembolaget.se/produkt/vin/pride-riesling-7506201/")</f>
        <v>https://www.systembolaget.se/produkt/vin/pride-riesling-7506201/</v>
      </c>
      <c r="J246" s="1">
        <v>20.2</v>
      </c>
      <c r="K246" s="1">
        <v>11.24</v>
      </c>
      <c r="L246" s="2">
        <v>45777</v>
      </c>
      <c r="M246" s="1" t="s">
        <v>1098</v>
      </c>
      <c r="N246" s="1">
        <v>1.1399999999999999</v>
      </c>
      <c r="O246" s="1">
        <v>750</v>
      </c>
      <c r="P246" s="1">
        <v>12</v>
      </c>
      <c r="Q246" s="1" t="s">
        <v>38</v>
      </c>
      <c r="R246" s="1" t="s">
        <v>39</v>
      </c>
      <c r="S246" s="1" t="s">
        <v>184</v>
      </c>
      <c r="T246" s="1"/>
      <c r="U246" s="1" t="s">
        <v>119</v>
      </c>
      <c r="V246" s="1" t="s">
        <v>1099</v>
      </c>
      <c r="W246" s="1"/>
      <c r="X246" s="1" t="s">
        <v>153</v>
      </c>
      <c r="Y246" s="1" t="s">
        <v>153</v>
      </c>
      <c r="Z246" s="1" t="s">
        <v>43</v>
      </c>
      <c r="AA246" s="1">
        <v>2024</v>
      </c>
      <c r="AB246" s="1" t="s">
        <v>77</v>
      </c>
      <c r="AC246" s="1" t="s">
        <v>45</v>
      </c>
      <c r="AD246" s="1" t="s">
        <v>43</v>
      </c>
      <c r="AE246" s="1" t="s">
        <v>43</v>
      </c>
      <c r="AF246" s="1">
        <v>6</v>
      </c>
      <c r="AG246" s="1" t="s">
        <v>43</v>
      </c>
      <c r="AH246" s="2">
        <v>45784</v>
      </c>
    </row>
    <row r="247" spans="1:34" x14ac:dyDescent="0.3">
      <c r="A247" s="1">
        <v>757801</v>
      </c>
      <c r="B247" s="1">
        <v>11.24</v>
      </c>
      <c r="C247" s="1">
        <v>79</v>
      </c>
      <c r="D247" s="1">
        <v>89</v>
      </c>
      <c r="E247" s="1" t="s">
        <v>43</v>
      </c>
      <c r="F247" s="1">
        <v>0</v>
      </c>
      <c r="G247" s="1" t="s">
        <v>1100</v>
      </c>
      <c r="H247" s="1" t="s">
        <v>1101</v>
      </c>
      <c r="I247" s="1" t="str">
        <f>HYPERLINK("https://www.systembolaget.se/produkt/vin/patriarche-757801/","https://www.systembolaget.se/produkt/vin/patriarche-757801/")</f>
        <v>https://www.systembolaget.se/produkt/vin/patriarche-757801/</v>
      </c>
      <c r="J247" s="1">
        <v>20.2</v>
      </c>
      <c r="K247" s="1">
        <v>11.24</v>
      </c>
      <c r="L247" s="2">
        <v>45389</v>
      </c>
      <c r="M247" s="1" t="s">
        <v>1098</v>
      </c>
      <c r="N247" s="1">
        <v>1.1399999999999999</v>
      </c>
      <c r="O247" s="1">
        <v>750</v>
      </c>
      <c r="P247" s="1">
        <v>12</v>
      </c>
      <c r="Q247" s="1" t="s">
        <v>38</v>
      </c>
      <c r="R247" s="1" t="s">
        <v>61</v>
      </c>
      <c r="S247" s="1" t="s">
        <v>68</v>
      </c>
      <c r="T247" s="1"/>
      <c r="U247" s="1" t="s">
        <v>101</v>
      </c>
      <c r="V247" s="1" t="s">
        <v>1102</v>
      </c>
      <c r="W247" s="1"/>
      <c r="X247" s="1" t="s">
        <v>1103</v>
      </c>
      <c r="Y247" s="1" t="s">
        <v>299</v>
      </c>
      <c r="Z247" s="1" t="s">
        <v>46</v>
      </c>
      <c r="AA247" s="1"/>
      <c r="AB247" s="1" t="s">
        <v>77</v>
      </c>
      <c r="AC247" s="1" t="s">
        <v>45</v>
      </c>
      <c r="AD247" s="1" t="s">
        <v>43</v>
      </c>
      <c r="AE247" s="1" t="s">
        <v>43</v>
      </c>
      <c r="AF247" s="1">
        <v>12</v>
      </c>
      <c r="AG247" s="1" t="s">
        <v>43</v>
      </c>
      <c r="AH247" s="2">
        <v>44531</v>
      </c>
    </row>
    <row r="248" spans="1:34" x14ac:dyDescent="0.3">
      <c r="A248" s="1">
        <v>3220701</v>
      </c>
      <c r="B248" s="1">
        <v>11.21</v>
      </c>
      <c r="C248" s="1">
        <v>38.799999999999997</v>
      </c>
      <c r="D248" s="1">
        <v>43.7</v>
      </c>
      <c r="E248" s="1" t="s">
        <v>43</v>
      </c>
      <c r="F248" s="1">
        <v>0</v>
      </c>
      <c r="G248" s="1" t="s">
        <v>1104</v>
      </c>
      <c r="H248" s="1" t="s">
        <v>1105</v>
      </c>
      <c r="I248" s="1" t="str">
        <f>HYPERLINK("https://www.systembolaget.se/produkt/ol/torsol-3220701/","https://www.systembolaget.se/produkt/ol/torsol-3220701/")</f>
        <v>https://www.systembolaget.se/produkt/ol/torsol-3220701/</v>
      </c>
      <c r="J248" s="1">
        <v>11.01</v>
      </c>
      <c r="K248" s="1">
        <v>11.21</v>
      </c>
      <c r="L248" s="2">
        <v>45516</v>
      </c>
      <c r="M248" s="1" t="s">
        <v>1106</v>
      </c>
      <c r="N248" s="1">
        <v>0.91</v>
      </c>
      <c r="O248" s="1">
        <v>500</v>
      </c>
      <c r="P248" s="1">
        <v>7.1</v>
      </c>
      <c r="Q248" s="1" t="s">
        <v>107</v>
      </c>
      <c r="R248" s="1" t="s">
        <v>108</v>
      </c>
      <c r="S248" s="1" t="s">
        <v>109</v>
      </c>
      <c r="T248" s="1"/>
      <c r="U248" s="1" t="s">
        <v>110</v>
      </c>
      <c r="V248" s="1" t="s">
        <v>136</v>
      </c>
      <c r="W248" s="1" t="s">
        <v>1107</v>
      </c>
      <c r="X248" s="1" t="s">
        <v>1108</v>
      </c>
      <c r="Y248" s="1" t="s">
        <v>1109</v>
      </c>
      <c r="Z248" s="1" t="s">
        <v>43</v>
      </c>
      <c r="AA248" s="1"/>
      <c r="AB248" s="1" t="s">
        <v>882</v>
      </c>
      <c r="AC248" s="1" t="s">
        <v>115</v>
      </c>
      <c r="AD248" s="1" t="s">
        <v>46</v>
      </c>
      <c r="AE248" s="1" t="s">
        <v>43</v>
      </c>
      <c r="AF248" s="1"/>
      <c r="AG248" s="1" t="s">
        <v>43</v>
      </c>
      <c r="AH248" s="2">
        <v>45537</v>
      </c>
    </row>
    <row r="249" spans="1:34" x14ac:dyDescent="0.3">
      <c r="A249" s="1">
        <v>3469101</v>
      </c>
      <c r="B249" s="1">
        <v>11.21</v>
      </c>
      <c r="C249" s="1">
        <v>38.799999999999997</v>
      </c>
      <c r="D249" s="1">
        <v>43.7</v>
      </c>
      <c r="E249" s="1" t="s">
        <v>551</v>
      </c>
      <c r="F249" s="1">
        <v>0</v>
      </c>
      <c r="G249" s="1" t="s">
        <v>1110</v>
      </c>
      <c r="H249" s="1" t="s">
        <v>1111</v>
      </c>
      <c r="I249" s="1" t="str">
        <f>HYPERLINK("https://www.systembolaget.se/produkt/ol/torsol-microbryggeri-3469101/","https://www.systembolaget.se/produkt/ol/torsol-microbryggeri-3469101/")</f>
        <v>https://www.systembolaget.se/produkt/ol/torsol-microbryggeri-3469101/</v>
      </c>
      <c r="J249" s="1"/>
      <c r="K249" s="1">
        <v>11.21</v>
      </c>
      <c r="L249" s="2">
        <v>46104</v>
      </c>
      <c r="M249" s="1" t="s">
        <v>1112</v>
      </c>
      <c r="N249" s="1">
        <v>0.86</v>
      </c>
      <c r="O249" s="1">
        <v>500</v>
      </c>
      <c r="P249" s="1">
        <v>6.7</v>
      </c>
      <c r="Q249" s="1" t="s">
        <v>107</v>
      </c>
      <c r="R249" s="1" t="s">
        <v>108</v>
      </c>
      <c r="S249" s="1" t="s">
        <v>790</v>
      </c>
      <c r="T249" s="1"/>
      <c r="U249" s="1" t="s">
        <v>110</v>
      </c>
      <c r="V249" s="1" t="s">
        <v>136</v>
      </c>
      <c r="W249" s="1" t="s">
        <v>1107</v>
      </c>
      <c r="X249" s="1" t="s">
        <v>1108</v>
      </c>
      <c r="Y249" s="1" t="s">
        <v>1109</v>
      </c>
      <c r="Z249" s="1" t="s">
        <v>43</v>
      </c>
      <c r="AA249" s="1"/>
      <c r="AB249" s="1" t="s">
        <v>882</v>
      </c>
      <c r="AC249" s="1" t="s">
        <v>115</v>
      </c>
      <c r="AD249" s="1" t="s">
        <v>46</v>
      </c>
      <c r="AE249" s="1" t="s">
        <v>43</v>
      </c>
      <c r="AF249" s="1"/>
      <c r="AG249" s="1" t="s">
        <v>43</v>
      </c>
      <c r="AH249" s="2">
        <v>46125</v>
      </c>
    </row>
    <row r="250" spans="1:34" x14ac:dyDescent="0.3">
      <c r="A250" s="1">
        <v>469007</v>
      </c>
      <c r="B250" s="1">
        <v>11.17</v>
      </c>
      <c r="C250" s="1">
        <v>159</v>
      </c>
      <c r="D250" s="1">
        <v>179</v>
      </c>
      <c r="E250" s="1" t="s">
        <v>43</v>
      </c>
      <c r="F250" s="1">
        <v>0</v>
      </c>
      <c r="G250" s="1" t="s">
        <v>1113</v>
      </c>
      <c r="H250" s="1"/>
      <c r="I250" s="1" t="str">
        <f>HYPERLINK("https://www.systembolaget.se/produkt/vin/frey-organic-riesling-469007/","https://www.systembolaget.se/produkt/vin/frey-organic-riesling-469007/")</f>
        <v>https://www.systembolaget.se/produkt/vin/frey-organic-riesling-469007/</v>
      </c>
      <c r="J250" s="1">
        <v>11.17</v>
      </c>
      <c r="K250" s="1">
        <v>11.17</v>
      </c>
      <c r="L250" s="2">
        <v>45447</v>
      </c>
      <c r="M250" s="1" t="s">
        <v>1114</v>
      </c>
      <c r="N250" s="1">
        <v>1.1299999999999999</v>
      </c>
      <c r="O250" s="1">
        <v>1500</v>
      </c>
      <c r="P250" s="1">
        <v>12</v>
      </c>
      <c r="Q250" s="1" t="s">
        <v>38</v>
      </c>
      <c r="R250" s="1" t="s">
        <v>39</v>
      </c>
      <c r="S250" s="1" t="s">
        <v>184</v>
      </c>
      <c r="T250" s="1"/>
      <c r="U250" s="1" t="s">
        <v>119</v>
      </c>
      <c r="V250" s="1" t="s">
        <v>753</v>
      </c>
      <c r="W250" s="1"/>
      <c r="X250" s="1" t="s">
        <v>1115</v>
      </c>
      <c r="Y250" s="1" t="s">
        <v>334</v>
      </c>
      <c r="Z250" s="1" t="s">
        <v>46</v>
      </c>
      <c r="AA250" s="1">
        <v>2025</v>
      </c>
      <c r="AB250" s="1" t="s">
        <v>1050</v>
      </c>
      <c r="AC250" s="1" t="s">
        <v>90</v>
      </c>
      <c r="AD250" s="1" t="s">
        <v>43</v>
      </c>
      <c r="AE250" s="1" t="s">
        <v>43</v>
      </c>
      <c r="AF250" s="1">
        <v>6</v>
      </c>
      <c r="AG250" s="1" t="s">
        <v>43</v>
      </c>
      <c r="AH250" s="2">
        <v>44713</v>
      </c>
    </row>
    <row r="251" spans="1:34" x14ac:dyDescent="0.3">
      <c r="A251" s="1">
        <v>3004335</v>
      </c>
      <c r="B251" s="1">
        <v>11.17</v>
      </c>
      <c r="C251" s="1">
        <v>15.9</v>
      </c>
      <c r="D251" s="1">
        <v>17.899999999999999</v>
      </c>
      <c r="E251" s="1" t="s">
        <v>551</v>
      </c>
      <c r="F251" s="1">
        <v>0</v>
      </c>
      <c r="G251" s="1" t="s">
        <v>1116</v>
      </c>
      <c r="H251" s="1" t="s">
        <v>1117</v>
      </c>
      <c r="I251" s="1" t="str">
        <f>HYPERLINK("https://www.systembolaget.se/produkt/ol/stigbergets-3004335/","https://www.systembolaget.se/produkt/ol/stigbergets-3004335/")</f>
        <v>https://www.systembolaget.se/produkt/ol/stigbergets-3004335/</v>
      </c>
      <c r="J251" s="1"/>
      <c r="K251" s="1">
        <v>11.17</v>
      </c>
      <c r="L251" s="2">
        <v>46185</v>
      </c>
      <c r="M251" s="1" t="s">
        <v>1118</v>
      </c>
      <c r="N251" s="1">
        <v>1.04</v>
      </c>
      <c r="O251" s="1">
        <v>330</v>
      </c>
      <c r="P251" s="1">
        <v>5</v>
      </c>
      <c r="Q251" s="1" t="s">
        <v>107</v>
      </c>
      <c r="R251" s="1" t="s">
        <v>134</v>
      </c>
      <c r="S251" s="1" t="s">
        <v>918</v>
      </c>
      <c r="T251" s="1"/>
      <c r="U251" s="1" t="s">
        <v>110</v>
      </c>
      <c r="V251" s="1" t="s">
        <v>136</v>
      </c>
      <c r="W251" s="1" t="s">
        <v>137</v>
      </c>
      <c r="X251" s="1" t="s">
        <v>1119</v>
      </c>
      <c r="Y251" s="1" t="s">
        <v>1120</v>
      </c>
      <c r="Z251" s="1" t="s">
        <v>43</v>
      </c>
      <c r="AA251" s="1"/>
      <c r="AB251" s="1" t="s">
        <v>114</v>
      </c>
      <c r="AC251" s="1" t="s">
        <v>115</v>
      </c>
      <c r="AD251" s="1" t="s">
        <v>43</v>
      </c>
      <c r="AE251" s="1" t="s">
        <v>43</v>
      </c>
      <c r="AF251" s="1"/>
      <c r="AG251" s="1" t="s">
        <v>43</v>
      </c>
      <c r="AH251" s="2">
        <v>46204</v>
      </c>
    </row>
    <row r="252" spans="1:34" x14ac:dyDescent="0.3">
      <c r="A252" s="1">
        <v>5917601</v>
      </c>
      <c r="B252" s="1">
        <v>11.15</v>
      </c>
      <c r="C252" s="1">
        <v>239</v>
      </c>
      <c r="D252" s="1">
        <v>269</v>
      </c>
      <c r="E252" s="1" t="s">
        <v>43</v>
      </c>
      <c r="F252" s="1">
        <v>0</v>
      </c>
      <c r="G252" s="1" t="s">
        <v>1121</v>
      </c>
      <c r="H252" s="1" t="s">
        <v>1122</v>
      </c>
      <c r="I252" s="1" t="str">
        <f>HYPERLINK("https://www.systembolaget.se/produkt/vin/saint-clair-5917601/","https://www.systembolaget.se/produkt/vin/saint-clair-5917601/")</f>
        <v>https://www.systembolaget.se/produkt/vin/saint-clair-5917601/</v>
      </c>
      <c r="J252" s="1">
        <v>11.15</v>
      </c>
      <c r="K252" s="1">
        <v>11.15</v>
      </c>
      <c r="L252" s="2">
        <v>45389</v>
      </c>
      <c r="M252" s="1" t="s">
        <v>1123</v>
      </c>
      <c r="N252" s="1">
        <v>0.41</v>
      </c>
      <c r="O252" s="1">
        <v>750</v>
      </c>
      <c r="P252" s="1">
        <v>13</v>
      </c>
      <c r="Q252" s="1" t="s">
        <v>38</v>
      </c>
      <c r="R252" s="1" t="s">
        <v>52</v>
      </c>
      <c r="S252" s="1"/>
      <c r="T252" s="1"/>
      <c r="U252" s="1" t="s">
        <v>387</v>
      </c>
      <c r="V252" s="1" t="s">
        <v>421</v>
      </c>
      <c r="W252" s="1"/>
      <c r="X252" s="1" t="s">
        <v>1124</v>
      </c>
      <c r="Y252" s="1" t="s">
        <v>1125</v>
      </c>
      <c r="Z252" s="1" t="s">
        <v>43</v>
      </c>
      <c r="AA252" s="1">
        <v>2021</v>
      </c>
      <c r="AB252" s="1" t="s">
        <v>44</v>
      </c>
      <c r="AC252" s="1" t="s">
        <v>45</v>
      </c>
      <c r="AD252" s="1" t="s">
        <v>43</v>
      </c>
      <c r="AE252" s="1" t="s">
        <v>43</v>
      </c>
      <c r="AF252" s="1"/>
      <c r="AG252" s="1" t="s">
        <v>43</v>
      </c>
      <c r="AH252" s="2">
        <v>45140</v>
      </c>
    </row>
    <row r="253" spans="1:34" x14ac:dyDescent="0.3">
      <c r="A253" s="1">
        <v>5029801</v>
      </c>
      <c r="B253" s="1">
        <v>11.14</v>
      </c>
      <c r="C253" s="1">
        <v>399</v>
      </c>
      <c r="D253" s="1">
        <v>449</v>
      </c>
      <c r="E253" s="1" t="s">
        <v>43</v>
      </c>
      <c r="F253" s="1">
        <v>0</v>
      </c>
      <c r="G253" s="1" t="s">
        <v>992</v>
      </c>
      <c r="H253" s="1" t="s">
        <v>1126</v>
      </c>
      <c r="I253" s="1" t="str">
        <f>HYPERLINK("https://www.systembolaget.se/produkt/sprit/etoh-5029801/","https://www.systembolaget.se/produkt/sprit/etoh-5029801/")</f>
        <v>https://www.systembolaget.se/produkt/sprit/etoh-5029801/</v>
      </c>
      <c r="J253" s="1">
        <v>11.14</v>
      </c>
      <c r="K253" s="1">
        <v>11.14</v>
      </c>
      <c r="L253" s="2">
        <v>45389</v>
      </c>
      <c r="M253" s="1" t="s">
        <v>1127</v>
      </c>
      <c r="N253" s="1">
        <v>0.79</v>
      </c>
      <c r="O253" s="1">
        <v>700</v>
      </c>
      <c r="P253" s="1">
        <v>45</v>
      </c>
      <c r="Q253" s="1" t="s">
        <v>308</v>
      </c>
      <c r="R253" s="1" t="s">
        <v>309</v>
      </c>
      <c r="S253" s="1" t="s">
        <v>310</v>
      </c>
      <c r="T253" s="1"/>
      <c r="U253" s="1" t="s">
        <v>995</v>
      </c>
      <c r="V253" s="1"/>
      <c r="W253" s="1"/>
      <c r="X253" s="1" t="s">
        <v>996</v>
      </c>
      <c r="Y253" s="1" t="s">
        <v>783</v>
      </c>
      <c r="Z253" s="1" t="s">
        <v>43</v>
      </c>
      <c r="AA253" s="1"/>
      <c r="AB253" s="1" t="s">
        <v>44</v>
      </c>
      <c r="AC253" s="1" t="s">
        <v>45</v>
      </c>
      <c r="AD253" s="1" t="s">
        <v>43</v>
      </c>
      <c r="AE253" s="1" t="s">
        <v>43</v>
      </c>
      <c r="AF253" s="1"/>
      <c r="AG253" s="1" t="s">
        <v>43</v>
      </c>
      <c r="AH253" s="2">
        <v>44986</v>
      </c>
    </row>
    <row r="254" spans="1:34" x14ac:dyDescent="0.3">
      <c r="A254" s="1">
        <v>5036101</v>
      </c>
      <c r="B254" s="1">
        <v>11.14</v>
      </c>
      <c r="C254" s="1">
        <v>399</v>
      </c>
      <c r="D254" s="1">
        <v>449</v>
      </c>
      <c r="E254" s="1" t="s">
        <v>43</v>
      </c>
      <c r="F254" s="1">
        <v>0</v>
      </c>
      <c r="G254" s="1" t="s">
        <v>992</v>
      </c>
      <c r="H254" s="1" t="s">
        <v>1128</v>
      </c>
      <c r="I254" s="1" t="str">
        <f>HYPERLINK("https://www.systembolaget.se/produkt/sprit/etoh-5036101/","https://www.systembolaget.se/produkt/sprit/etoh-5036101/")</f>
        <v>https://www.systembolaget.se/produkt/sprit/etoh-5036101/</v>
      </c>
      <c r="J254" s="1">
        <v>11.14</v>
      </c>
      <c r="K254" s="1">
        <v>11.14</v>
      </c>
      <c r="L254" s="2">
        <v>45389</v>
      </c>
      <c r="M254" s="1" t="s">
        <v>1127</v>
      </c>
      <c r="N254" s="1">
        <v>0.79</v>
      </c>
      <c r="O254" s="1">
        <v>700</v>
      </c>
      <c r="P254" s="1">
        <v>45</v>
      </c>
      <c r="Q254" s="1" t="s">
        <v>308</v>
      </c>
      <c r="R254" s="1" t="s">
        <v>309</v>
      </c>
      <c r="S254" s="1" t="s">
        <v>310</v>
      </c>
      <c r="T254" s="1"/>
      <c r="U254" s="1" t="s">
        <v>995</v>
      </c>
      <c r="V254" s="1"/>
      <c r="W254" s="1"/>
      <c r="X254" s="1" t="s">
        <v>996</v>
      </c>
      <c r="Y254" s="1" t="s">
        <v>783</v>
      </c>
      <c r="Z254" s="1" t="s">
        <v>43</v>
      </c>
      <c r="AA254" s="1"/>
      <c r="AB254" s="1" t="s">
        <v>44</v>
      </c>
      <c r="AC254" s="1" t="s">
        <v>45</v>
      </c>
      <c r="AD254" s="1" t="s">
        <v>43</v>
      </c>
      <c r="AE254" s="1" t="s">
        <v>43</v>
      </c>
      <c r="AF254" s="1"/>
      <c r="AG254" s="1" t="s">
        <v>43</v>
      </c>
      <c r="AH254" s="2">
        <v>44986</v>
      </c>
    </row>
    <row r="255" spans="1:34" x14ac:dyDescent="0.3">
      <c r="A255" s="1">
        <v>3199935</v>
      </c>
      <c r="B255" s="1">
        <v>11.14</v>
      </c>
      <c r="C255" s="1">
        <v>39.9</v>
      </c>
      <c r="D255" s="1">
        <v>44.9</v>
      </c>
      <c r="E255" s="1" t="s">
        <v>43</v>
      </c>
      <c r="F255" s="1">
        <v>0</v>
      </c>
      <c r="G255" s="1" t="s">
        <v>997</v>
      </c>
      <c r="H255" s="1" t="s">
        <v>1129</v>
      </c>
      <c r="I255" s="1" t="str">
        <f>HYPERLINK("https://www.systembolaget.se/produkt/ol/oppigards-3199935/","https://www.systembolaget.se/produkt/ol/oppigards-3199935/")</f>
        <v>https://www.systembolaget.se/produkt/ol/oppigards-3199935/</v>
      </c>
      <c r="J255" s="1"/>
      <c r="K255" s="1">
        <v>11.14</v>
      </c>
      <c r="L255" s="2">
        <v>46034</v>
      </c>
      <c r="M255" s="1" t="s">
        <v>1130</v>
      </c>
      <c r="N255" s="1">
        <v>0.99</v>
      </c>
      <c r="O255" s="1">
        <v>330</v>
      </c>
      <c r="P255" s="1">
        <v>12</v>
      </c>
      <c r="Q255" s="1" t="s">
        <v>107</v>
      </c>
      <c r="R255" s="1" t="s">
        <v>712</v>
      </c>
      <c r="S255" s="1" t="s">
        <v>713</v>
      </c>
      <c r="T255" s="1"/>
      <c r="U255" s="1" t="s">
        <v>110</v>
      </c>
      <c r="V255" s="1" t="s">
        <v>469</v>
      </c>
      <c r="W255" s="1" t="s">
        <v>470</v>
      </c>
      <c r="X255" s="1" t="s">
        <v>1001</v>
      </c>
      <c r="Y255" s="1" t="s">
        <v>471</v>
      </c>
      <c r="Z255" s="1" t="s">
        <v>43</v>
      </c>
      <c r="AA255" s="1"/>
      <c r="AB255" s="1" t="s">
        <v>114</v>
      </c>
      <c r="AC255" s="1" t="s">
        <v>115</v>
      </c>
      <c r="AD255" s="1" t="s">
        <v>43</v>
      </c>
      <c r="AE255" s="1" t="s">
        <v>43</v>
      </c>
      <c r="AF255" s="1"/>
      <c r="AG255" s="1" t="s">
        <v>43</v>
      </c>
      <c r="AH255" s="2">
        <v>46055</v>
      </c>
    </row>
    <row r="256" spans="1:34" x14ac:dyDescent="0.3">
      <c r="A256" s="1">
        <v>7957301</v>
      </c>
      <c r="B256" s="1">
        <v>11.14</v>
      </c>
      <c r="C256" s="1">
        <v>399</v>
      </c>
      <c r="D256" s="1">
        <v>449</v>
      </c>
      <c r="E256" s="1" t="s">
        <v>43</v>
      </c>
      <c r="F256" s="1">
        <v>0</v>
      </c>
      <c r="G256" s="1" t="s">
        <v>1131</v>
      </c>
      <c r="H256" s="1" t="s">
        <v>1132</v>
      </c>
      <c r="I256" s="1" t="str">
        <f>HYPERLINK("https://www.systembolaget.se/produkt/vin/orgia-7957301/","https://www.systembolaget.se/produkt/vin/orgia-7957301/")</f>
        <v>https://www.systembolaget.se/produkt/vin/orgia-7957301/</v>
      </c>
      <c r="J256" s="1"/>
      <c r="K256" s="1">
        <v>11.14</v>
      </c>
      <c r="L256" s="2">
        <v>46055</v>
      </c>
      <c r="M256" s="1" t="s">
        <v>1133</v>
      </c>
      <c r="N256" s="1">
        <v>0.25</v>
      </c>
      <c r="O256" s="1">
        <v>750</v>
      </c>
      <c r="P256" s="1">
        <v>13.5</v>
      </c>
      <c r="Q256" s="1" t="s">
        <v>38</v>
      </c>
      <c r="R256" s="1" t="s">
        <v>39</v>
      </c>
      <c r="S256" s="1"/>
      <c r="T256" s="1"/>
      <c r="U256" s="1" t="s">
        <v>73</v>
      </c>
      <c r="V256" s="1" t="s">
        <v>74</v>
      </c>
      <c r="W256" s="1" t="s">
        <v>1134</v>
      </c>
      <c r="X256" s="1" t="s">
        <v>1135</v>
      </c>
      <c r="Y256" s="1" t="s">
        <v>304</v>
      </c>
      <c r="Z256" s="1" t="s">
        <v>46</v>
      </c>
      <c r="AA256" s="1">
        <v>2018</v>
      </c>
      <c r="AB256" s="1" t="s">
        <v>44</v>
      </c>
      <c r="AC256" s="1" t="s">
        <v>45</v>
      </c>
      <c r="AD256" s="1" t="s">
        <v>43</v>
      </c>
      <c r="AE256" s="1" t="s">
        <v>43</v>
      </c>
      <c r="AF256" s="1"/>
      <c r="AG256" s="1" t="s">
        <v>43</v>
      </c>
      <c r="AH256" s="2">
        <v>46062</v>
      </c>
    </row>
    <row r="257" spans="1:34" x14ac:dyDescent="0.3">
      <c r="A257" s="1">
        <v>7976301</v>
      </c>
      <c r="B257" s="1">
        <v>11.12</v>
      </c>
      <c r="C257" s="1">
        <v>1599</v>
      </c>
      <c r="D257" s="1">
        <v>1799</v>
      </c>
      <c r="E257" s="1" t="s">
        <v>43</v>
      </c>
      <c r="F257" s="1">
        <v>0</v>
      </c>
      <c r="G257" s="1" t="s">
        <v>1136</v>
      </c>
      <c r="H257" s="1" t="s">
        <v>1137</v>
      </c>
      <c r="I257" s="1" t="str">
        <f>HYPERLINK("https://www.systembolaget.se/produkt/vin/corton-le-clos-du-roi-grand-cru-7976301/","https://www.systembolaget.se/produkt/vin/corton-le-clos-du-roi-grand-cru-7976301/")</f>
        <v>https://www.systembolaget.se/produkt/vin/corton-le-clos-du-roi-grand-cru-7976301/</v>
      </c>
      <c r="J257" s="1">
        <v>11.12</v>
      </c>
      <c r="K257" s="1">
        <v>11.12</v>
      </c>
      <c r="L257" s="2">
        <v>45952</v>
      </c>
      <c r="M257" s="1" t="s">
        <v>1138</v>
      </c>
      <c r="N257" s="1">
        <v>0.06</v>
      </c>
      <c r="O257" s="1">
        <v>750</v>
      </c>
      <c r="P257" s="1">
        <v>13</v>
      </c>
      <c r="Q257" s="1" t="s">
        <v>38</v>
      </c>
      <c r="R257" s="1" t="s">
        <v>52</v>
      </c>
      <c r="S257" s="1"/>
      <c r="T257" s="1"/>
      <c r="U257" s="1" t="s">
        <v>101</v>
      </c>
      <c r="V257" s="1" t="s">
        <v>142</v>
      </c>
      <c r="W257" s="1" t="s">
        <v>143</v>
      </c>
      <c r="X257" s="1" t="s">
        <v>1137</v>
      </c>
      <c r="Y257" s="1" t="s">
        <v>678</v>
      </c>
      <c r="Z257" s="1" t="s">
        <v>46</v>
      </c>
      <c r="AA257" s="1">
        <v>2022</v>
      </c>
      <c r="AB257" s="1" t="s">
        <v>44</v>
      </c>
      <c r="AC257" s="1" t="s">
        <v>45</v>
      </c>
      <c r="AD257" s="1" t="s">
        <v>43</v>
      </c>
      <c r="AE257" s="1" t="s">
        <v>43</v>
      </c>
      <c r="AF257" s="1"/>
      <c r="AG257" s="1" t="s">
        <v>43</v>
      </c>
      <c r="AH257" s="2">
        <v>45959</v>
      </c>
    </row>
    <row r="258" spans="1:34" x14ac:dyDescent="0.3">
      <c r="A258" s="1">
        <v>7837006</v>
      </c>
      <c r="B258" s="1">
        <v>11.12</v>
      </c>
      <c r="C258" s="1">
        <v>1199</v>
      </c>
      <c r="D258" s="1">
        <v>1349</v>
      </c>
      <c r="E258" s="1" t="s">
        <v>459</v>
      </c>
      <c r="F258" s="1">
        <v>0</v>
      </c>
      <c r="G258" s="1" t="s">
        <v>811</v>
      </c>
      <c r="H258" s="1" t="s">
        <v>812</v>
      </c>
      <c r="I258" s="1" t="str">
        <f>HYPERLINK("https://www.systembolaget.se/produkt/vin/wehlener-sonnenuhr-kabinett-7837006/","https://www.systembolaget.se/produkt/vin/wehlener-sonnenuhr-kabinett-7837006/")</f>
        <v>https://www.systembolaget.se/produkt/vin/wehlener-sonnenuhr-kabinett-7837006/</v>
      </c>
      <c r="J258" s="1"/>
      <c r="K258" s="1">
        <v>11.12</v>
      </c>
      <c r="L258" s="2">
        <v>45994</v>
      </c>
      <c r="M258" s="1" t="s">
        <v>1139</v>
      </c>
      <c r="N258" s="1">
        <v>0.09</v>
      </c>
      <c r="O258" s="1">
        <v>1500</v>
      </c>
      <c r="P258" s="1">
        <v>7.5</v>
      </c>
      <c r="Q258" s="1" t="s">
        <v>38</v>
      </c>
      <c r="R258" s="1" t="s">
        <v>39</v>
      </c>
      <c r="S258" s="1"/>
      <c r="T258" s="1"/>
      <c r="U258" s="1" t="s">
        <v>119</v>
      </c>
      <c r="V258" s="1" t="s">
        <v>814</v>
      </c>
      <c r="W258" s="1"/>
      <c r="X258" s="1" t="s">
        <v>815</v>
      </c>
      <c r="Y258" s="1" t="s">
        <v>678</v>
      </c>
      <c r="Z258" s="1" t="s">
        <v>43</v>
      </c>
      <c r="AA258" s="1">
        <v>2021</v>
      </c>
      <c r="AB258" s="1" t="s">
        <v>77</v>
      </c>
      <c r="AC258" s="1" t="s">
        <v>45</v>
      </c>
      <c r="AD258" s="1" t="s">
        <v>43</v>
      </c>
      <c r="AE258" s="1" t="s">
        <v>43</v>
      </c>
      <c r="AF258" s="1"/>
      <c r="AG258" s="1" t="s">
        <v>43</v>
      </c>
      <c r="AH258" s="2">
        <v>46001</v>
      </c>
    </row>
    <row r="259" spans="1:34" x14ac:dyDescent="0.3">
      <c r="A259" s="1">
        <v>7666001</v>
      </c>
      <c r="B259" s="1">
        <v>11.12</v>
      </c>
      <c r="C259" s="1">
        <v>799</v>
      </c>
      <c r="D259" s="1">
        <v>899</v>
      </c>
      <c r="E259" s="1" t="s">
        <v>43</v>
      </c>
      <c r="F259" s="1">
        <v>0</v>
      </c>
      <c r="G259" s="1" t="s">
        <v>1140</v>
      </c>
      <c r="H259" s="1" t="s">
        <v>1141</v>
      </c>
      <c r="I259" s="1" t="str">
        <f>HYPERLINK("https://www.systembolaget.se/produkt/vin/kranemann-estates-7666001/","https://www.systembolaget.se/produkt/vin/kranemann-estates-7666001/")</f>
        <v>https://www.systembolaget.se/produkt/vin/kranemann-estates-7666001/</v>
      </c>
      <c r="J259" s="1">
        <v>11.02</v>
      </c>
      <c r="K259" s="1">
        <v>11.12</v>
      </c>
      <c r="L259" s="2">
        <v>45971</v>
      </c>
      <c r="M259" s="1" t="s">
        <v>1142</v>
      </c>
      <c r="N259" s="1">
        <v>0.12</v>
      </c>
      <c r="O259" s="1">
        <v>750</v>
      </c>
      <c r="P259" s="1">
        <v>13</v>
      </c>
      <c r="Q259" s="1" t="s">
        <v>38</v>
      </c>
      <c r="R259" s="1" t="s">
        <v>52</v>
      </c>
      <c r="S259" s="1"/>
      <c r="T259" s="1"/>
      <c r="U259" s="1" t="s">
        <v>272</v>
      </c>
      <c r="V259" s="1"/>
      <c r="W259" s="1"/>
      <c r="X259" s="1" t="s">
        <v>1143</v>
      </c>
      <c r="Y259" s="1" t="s">
        <v>905</v>
      </c>
      <c r="Z259" s="1" t="s">
        <v>43</v>
      </c>
      <c r="AA259" s="1">
        <v>2020</v>
      </c>
      <c r="AB259" s="1" t="s">
        <v>44</v>
      </c>
      <c r="AC259" s="1" t="s">
        <v>45</v>
      </c>
      <c r="AD259" s="1" t="s">
        <v>43</v>
      </c>
      <c r="AE259" s="1" t="s">
        <v>43</v>
      </c>
      <c r="AF259" s="1"/>
      <c r="AG259" s="1" t="s">
        <v>43</v>
      </c>
      <c r="AH259" s="2">
        <v>45978</v>
      </c>
    </row>
    <row r="260" spans="1:34" x14ac:dyDescent="0.3">
      <c r="A260" s="1">
        <v>7509001</v>
      </c>
      <c r="B260" s="1">
        <v>11.11</v>
      </c>
      <c r="C260" s="1">
        <v>7999</v>
      </c>
      <c r="D260" s="1">
        <v>8999</v>
      </c>
      <c r="E260" s="1" t="s">
        <v>43</v>
      </c>
      <c r="F260" s="1">
        <v>0</v>
      </c>
      <c r="G260" s="1" t="s">
        <v>723</v>
      </c>
      <c r="H260" s="1" t="s">
        <v>722</v>
      </c>
      <c r="I260" s="1" t="str">
        <f>HYPERLINK("https://www.systembolaget.se/produkt/vin/domaine-trapet-7509001/","https://www.systembolaget.se/produkt/vin/domaine-trapet-7509001/")</f>
        <v>https://www.systembolaget.se/produkt/vin/domaine-trapet-7509001/</v>
      </c>
      <c r="J260" s="1">
        <v>11.11</v>
      </c>
      <c r="K260" s="1">
        <v>11.11</v>
      </c>
      <c r="L260" s="2">
        <v>45952</v>
      </c>
      <c r="M260" s="1" t="s">
        <v>1144</v>
      </c>
      <c r="N260" s="1">
        <v>0.01</v>
      </c>
      <c r="O260" s="1">
        <v>750</v>
      </c>
      <c r="P260" s="1">
        <v>13</v>
      </c>
      <c r="Q260" s="1" t="s">
        <v>38</v>
      </c>
      <c r="R260" s="1" t="s">
        <v>52</v>
      </c>
      <c r="S260" s="1"/>
      <c r="T260" s="1"/>
      <c r="U260" s="1" t="s">
        <v>101</v>
      </c>
      <c r="V260" s="1" t="s">
        <v>142</v>
      </c>
      <c r="W260" s="1" t="s">
        <v>725</v>
      </c>
      <c r="X260" s="1" t="s">
        <v>723</v>
      </c>
      <c r="Y260" s="1" t="s">
        <v>678</v>
      </c>
      <c r="Z260" s="1" t="s">
        <v>46</v>
      </c>
      <c r="AA260" s="1">
        <v>2022</v>
      </c>
      <c r="AB260" s="1" t="s">
        <v>44</v>
      </c>
      <c r="AC260" s="1" t="s">
        <v>45</v>
      </c>
      <c r="AD260" s="1" t="s">
        <v>43</v>
      </c>
      <c r="AE260" s="1" t="s">
        <v>43</v>
      </c>
      <c r="AF260" s="1"/>
      <c r="AG260" s="1" t="s">
        <v>43</v>
      </c>
      <c r="AH260" s="2">
        <v>45959</v>
      </c>
    </row>
    <row r="261" spans="1:34" x14ac:dyDescent="0.3">
      <c r="A261" s="1">
        <v>7622701</v>
      </c>
      <c r="B261" s="1">
        <v>11.11</v>
      </c>
      <c r="C261" s="1">
        <v>3199</v>
      </c>
      <c r="D261" s="1">
        <v>3599</v>
      </c>
      <c r="E261" s="1" t="s">
        <v>459</v>
      </c>
      <c r="F261" s="1">
        <v>0</v>
      </c>
      <c r="G261" s="1" t="s">
        <v>1145</v>
      </c>
      <c r="H261" s="1" t="s">
        <v>1137</v>
      </c>
      <c r="I261" s="1" t="str">
        <f>HYPERLINK("https://www.systembolaget.se/produkt/vin/bonnes-mares-grand-cru-7622701/","https://www.systembolaget.se/produkt/vin/bonnes-mares-grand-cru-7622701/")</f>
        <v>https://www.systembolaget.se/produkt/vin/bonnes-mares-grand-cru-7622701/</v>
      </c>
      <c r="J261" s="1"/>
      <c r="K261" s="1">
        <v>11.11</v>
      </c>
      <c r="L261" s="2">
        <v>46020</v>
      </c>
      <c r="M261" s="1" t="s">
        <v>1146</v>
      </c>
      <c r="N261" s="1">
        <v>0.03</v>
      </c>
      <c r="O261" s="1">
        <v>750</v>
      </c>
      <c r="P261" s="1">
        <v>13</v>
      </c>
      <c r="Q261" s="1" t="s">
        <v>38</v>
      </c>
      <c r="R261" s="1" t="s">
        <v>52</v>
      </c>
      <c r="S261" s="1"/>
      <c r="T261" s="1"/>
      <c r="U261" s="1" t="s">
        <v>101</v>
      </c>
      <c r="V261" s="1" t="s">
        <v>142</v>
      </c>
      <c r="W261" s="1" t="s">
        <v>725</v>
      </c>
      <c r="X261" s="1" t="s">
        <v>1137</v>
      </c>
      <c r="Y261" s="1" t="s">
        <v>678</v>
      </c>
      <c r="Z261" s="1" t="s">
        <v>46</v>
      </c>
      <c r="AA261" s="1">
        <v>2019</v>
      </c>
      <c r="AB261" s="1" t="s">
        <v>44</v>
      </c>
      <c r="AC261" s="1" t="s">
        <v>45</v>
      </c>
      <c r="AD261" s="1" t="s">
        <v>43</v>
      </c>
      <c r="AE261" s="1" t="s">
        <v>43</v>
      </c>
      <c r="AF261" s="1"/>
      <c r="AG261" s="1" t="s">
        <v>43</v>
      </c>
      <c r="AH261" s="2">
        <v>46027</v>
      </c>
    </row>
    <row r="262" spans="1:34" x14ac:dyDescent="0.3">
      <c r="A262" s="1">
        <v>7924901</v>
      </c>
      <c r="B262" s="1">
        <v>11.11</v>
      </c>
      <c r="C262" s="1">
        <v>3999</v>
      </c>
      <c r="D262" s="1">
        <v>4499</v>
      </c>
      <c r="E262" s="1" t="s">
        <v>43</v>
      </c>
      <c r="F262" s="1">
        <v>0</v>
      </c>
      <c r="G262" s="1" t="s">
        <v>1147</v>
      </c>
      <c r="H262" s="1" t="s">
        <v>1062</v>
      </c>
      <c r="I262" s="1" t="str">
        <f>HYPERLINK("https://www.systembolaget.se/produkt/vin/mazoyeres-chambertin-grand-cru-7924901/","https://www.systembolaget.se/produkt/vin/mazoyeres-chambertin-grand-cru-7924901/")</f>
        <v>https://www.systembolaget.se/produkt/vin/mazoyeres-chambertin-grand-cru-7924901/</v>
      </c>
      <c r="J262" s="1">
        <v>9.09</v>
      </c>
      <c r="K262" s="1">
        <v>11.11</v>
      </c>
      <c r="L262" s="2">
        <v>45860</v>
      </c>
      <c r="M262" s="1" t="s">
        <v>1148</v>
      </c>
      <c r="N262" s="1">
        <v>0.03</v>
      </c>
      <c r="O262" s="1">
        <v>750</v>
      </c>
      <c r="P262" s="1">
        <v>13.5</v>
      </c>
      <c r="Q262" s="1" t="s">
        <v>38</v>
      </c>
      <c r="R262" s="1" t="s">
        <v>52</v>
      </c>
      <c r="S262" s="1"/>
      <c r="T262" s="1"/>
      <c r="U262" s="1" t="s">
        <v>101</v>
      </c>
      <c r="V262" s="1" t="s">
        <v>142</v>
      </c>
      <c r="W262" s="1" t="s">
        <v>725</v>
      </c>
      <c r="X262" s="1" t="s">
        <v>1064</v>
      </c>
      <c r="Y262" s="1" t="s">
        <v>678</v>
      </c>
      <c r="Z262" s="1" t="s">
        <v>43</v>
      </c>
      <c r="AA262" s="1">
        <v>2022</v>
      </c>
      <c r="AB262" s="1" t="s">
        <v>44</v>
      </c>
      <c r="AC262" s="1" t="s">
        <v>45</v>
      </c>
      <c r="AD262" s="1" t="s">
        <v>43</v>
      </c>
      <c r="AE262" s="1" t="s">
        <v>43</v>
      </c>
      <c r="AF262" s="1"/>
      <c r="AG262" s="1" t="s">
        <v>43</v>
      </c>
      <c r="AH262" s="2">
        <v>45854</v>
      </c>
    </row>
    <row r="263" spans="1:34" x14ac:dyDescent="0.3">
      <c r="A263" s="1">
        <v>8544101</v>
      </c>
      <c r="B263" s="1">
        <v>11.08</v>
      </c>
      <c r="C263" s="1">
        <v>329</v>
      </c>
      <c r="D263" s="1">
        <v>370</v>
      </c>
      <c r="E263" s="1" t="s">
        <v>34</v>
      </c>
      <c r="F263" s="1">
        <v>0</v>
      </c>
      <c r="G263" s="1" t="s">
        <v>1149</v>
      </c>
      <c r="H263" s="1" t="s">
        <v>1150</v>
      </c>
      <c r="I263" s="1" t="str">
        <f>HYPERLINK("https://www.systembolaget.se/produkt/sprit/antica-sambuca-8544101/","https://www.systembolaget.se/produkt/sprit/antica-sambuca-8544101/")</f>
        <v>https://www.systembolaget.se/produkt/sprit/antica-sambuca-8544101/</v>
      </c>
      <c r="J263" s="1">
        <v>11.08</v>
      </c>
      <c r="K263" s="1">
        <v>11.08</v>
      </c>
      <c r="L263" s="2">
        <v>45389</v>
      </c>
      <c r="M263" s="1" t="s">
        <v>1151</v>
      </c>
      <c r="N263" s="1">
        <v>0.81</v>
      </c>
      <c r="O263" s="1">
        <v>700</v>
      </c>
      <c r="P263" s="1">
        <v>38</v>
      </c>
      <c r="Q263" s="1" t="s">
        <v>308</v>
      </c>
      <c r="R263" s="1" t="s">
        <v>378</v>
      </c>
      <c r="S263" s="1" t="s">
        <v>546</v>
      </c>
      <c r="T263" s="1"/>
      <c r="U263" s="1" t="s">
        <v>53</v>
      </c>
      <c r="V263" s="1"/>
      <c r="W263" s="1"/>
      <c r="X263" s="1" t="s">
        <v>1152</v>
      </c>
      <c r="Y263" s="1" t="s">
        <v>1153</v>
      </c>
      <c r="Z263" s="1" t="s">
        <v>43</v>
      </c>
      <c r="AA263" s="1"/>
      <c r="AB263" s="1" t="s">
        <v>44</v>
      </c>
      <c r="AC263" s="1" t="s">
        <v>45</v>
      </c>
      <c r="AD263" s="1" t="s">
        <v>43</v>
      </c>
      <c r="AE263" s="1" t="s">
        <v>43</v>
      </c>
      <c r="AF263" s="1"/>
      <c r="AG263" s="1" t="s">
        <v>43</v>
      </c>
      <c r="AH263" s="2">
        <v>45271</v>
      </c>
    </row>
    <row r="264" spans="1:34" x14ac:dyDescent="0.3">
      <c r="A264" s="1">
        <v>7794302</v>
      </c>
      <c r="B264" s="1">
        <v>11.04</v>
      </c>
      <c r="C264" s="1">
        <v>290</v>
      </c>
      <c r="D264" s="1">
        <v>326</v>
      </c>
      <c r="E264" s="1" t="s">
        <v>43</v>
      </c>
      <c r="F264" s="1">
        <v>0</v>
      </c>
      <c r="G264" s="1" t="s">
        <v>1154</v>
      </c>
      <c r="H264" s="1" t="s">
        <v>1155</v>
      </c>
      <c r="I264" s="1" t="str">
        <f>HYPERLINK("https://www.systembolaget.se/produkt/vin/brantings-branneri-7794302/","https://www.systembolaget.se/produkt/vin/brantings-branneri-7794302/")</f>
        <v>https://www.systembolaget.se/produkt/vin/brantings-branneri-7794302/</v>
      </c>
      <c r="J264" s="1">
        <v>10.77</v>
      </c>
      <c r="K264" s="1">
        <v>11.04</v>
      </c>
      <c r="L264" s="2">
        <v>45980</v>
      </c>
      <c r="M264" s="1" t="s">
        <v>1156</v>
      </c>
      <c r="N264" s="1">
        <v>0.34</v>
      </c>
      <c r="O264" s="1">
        <v>500</v>
      </c>
      <c r="P264" s="1">
        <v>20</v>
      </c>
      <c r="Q264" s="1" t="s">
        <v>38</v>
      </c>
      <c r="R264" s="1" t="s">
        <v>1157</v>
      </c>
      <c r="S264" s="1"/>
      <c r="T264" s="1"/>
      <c r="U264" s="1" t="s">
        <v>110</v>
      </c>
      <c r="V264" s="1"/>
      <c r="W264" s="1"/>
      <c r="X264" s="1" t="s">
        <v>1154</v>
      </c>
      <c r="Y264" s="1" t="s">
        <v>1158</v>
      </c>
      <c r="Z264" s="1" t="s">
        <v>43</v>
      </c>
      <c r="AA264" s="1"/>
      <c r="AB264" s="1" t="s">
        <v>44</v>
      </c>
      <c r="AC264" s="1" t="s">
        <v>45</v>
      </c>
      <c r="AD264" s="1" t="s">
        <v>43</v>
      </c>
      <c r="AE264" s="1" t="s">
        <v>43</v>
      </c>
      <c r="AF264" s="1">
        <v>106</v>
      </c>
      <c r="AG264" s="1" t="s">
        <v>43</v>
      </c>
      <c r="AH264" s="2">
        <v>45964</v>
      </c>
    </row>
    <row r="265" spans="1:34" x14ac:dyDescent="0.3">
      <c r="A265" s="1">
        <v>8456301</v>
      </c>
      <c r="B265" s="1">
        <v>10.94</v>
      </c>
      <c r="C265" s="1">
        <v>3999</v>
      </c>
      <c r="D265" s="1">
        <v>4490</v>
      </c>
      <c r="E265" s="1" t="s">
        <v>43</v>
      </c>
      <c r="F265" s="1">
        <v>0</v>
      </c>
      <c r="G265" s="1" t="s">
        <v>632</v>
      </c>
      <c r="H265" s="1" t="s">
        <v>1159</v>
      </c>
      <c r="I265" s="1" t="str">
        <f>HYPERLINK("https://www.systembolaget.se/produkt/sprit/loch-lomond-group-8456301/","https://www.systembolaget.se/produkt/sprit/loch-lomond-group-8456301/")</f>
        <v>https://www.systembolaget.se/produkt/sprit/loch-lomond-group-8456301/</v>
      </c>
      <c r="J265" s="1">
        <v>10.94</v>
      </c>
      <c r="K265" s="1">
        <v>10.94</v>
      </c>
      <c r="L265" s="2">
        <v>45684</v>
      </c>
      <c r="M265" s="1" t="s">
        <v>1160</v>
      </c>
      <c r="N265" s="1">
        <v>0.08</v>
      </c>
      <c r="O265" s="1">
        <v>700</v>
      </c>
      <c r="P265" s="1">
        <v>46</v>
      </c>
      <c r="Q265" s="1" t="s">
        <v>308</v>
      </c>
      <c r="R265" s="1" t="s">
        <v>309</v>
      </c>
      <c r="S265" s="1" t="s">
        <v>318</v>
      </c>
      <c r="T265" s="1"/>
      <c r="U265" s="1" t="s">
        <v>253</v>
      </c>
      <c r="V265" s="1" t="s">
        <v>254</v>
      </c>
      <c r="W265" s="1"/>
      <c r="X265" s="1" t="s">
        <v>632</v>
      </c>
      <c r="Y265" s="1" t="s">
        <v>261</v>
      </c>
      <c r="Z265" s="1" t="s">
        <v>43</v>
      </c>
      <c r="AA265" s="1"/>
      <c r="AB265" s="1" t="s">
        <v>44</v>
      </c>
      <c r="AC265" s="1" t="s">
        <v>45</v>
      </c>
      <c r="AD265" s="1" t="s">
        <v>43</v>
      </c>
      <c r="AE265" s="1" t="s">
        <v>43</v>
      </c>
      <c r="AF265" s="1"/>
      <c r="AG265" s="1" t="s">
        <v>43</v>
      </c>
      <c r="AH265" s="2">
        <v>45691</v>
      </c>
    </row>
    <row r="266" spans="1:34" x14ac:dyDescent="0.3">
      <c r="A266" s="1">
        <v>8534601</v>
      </c>
      <c r="B266" s="1">
        <v>10.93</v>
      </c>
      <c r="C266" s="1">
        <v>489</v>
      </c>
      <c r="D266" s="1">
        <v>549</v>
      </c>
      <c r="E266" s="1" t="s">
        <v>43</v>
      </c>
      <c r="F266" s="1">
        <v>0</v>
      </c>
      <c r="G266" s="1" t="s">
        <v>1161</v>
      </c>
      <c r="H266" s="1" t="s">
        <v>1162</v>
      </c>
      <c r="I266" s="1" t="str">
        <f>HYPERLINK("https://www.systembolaget.se/produkt/sprit/brazilian-pineapple-gin-8534601/","https://www.systembolaget.se/produkt/sprit/brazilian-pineapple-gin-8534601/")</f>
        <v>https://www.systembolaget.se/produkt/sprit/brazilian-pineapple-gin-8534601/</v>
      </c>
      <c r="J266" s="1">
        <v>-1.66</v>
      </c>
      <c r="K266" s="1">
        <v>10.93</v>
      </c>
      <c r="L266" s="2">
        <v>45392</v>
      </c>
      <c r="M266" s="1" t="s">
        <v>1163</v>
      </c>
      <c r="N266" s="1">
        <v>0.62</v>
      </c>
      <c r="O266" s="1">
        <v>700</v>
      </c>
      <c r="P266" s="1">
        <v>43</v>
      </c>
      <c r="Q266" s="1" t="s">
        <v>308</v>
      </c>
      <c r="R266" s="1" t="s">
        <v>487</v>
      </c>
      <c r="S266" s="1" t="s">
        <v>488</v>
      </c>
      <c r="T266" s="1"/>
      <c r="U266" s="1" t="s">
        <v>311</v>
      </c>
      <c r="V266" s="1"/>
      <c r="W266" s="1"/>
      <c r="X266" s="1" t="s">
        <v>1164</v>
      </c>
      <c r="Y266" s="1" t="s">
        <v>1006</v>
      </c>
      <c r="Z266" s="1" t="s">
        <v>43</v>
      </c>
      <c r="AA266" s="1"/>
      <c r="AB266" s="1" t="s">
        <v>44</v>
      </c>
      <c r="AC266" s="1" t="s">
        <v>45</v>
      </c>
      <c r="AD266" s="1" t="s">
        <v>43</v>
      </c>
      <c r="AE266" s="1" t="s">
        <v>43</v>
      </c>
      <c r="AF266" s="1"/>
      <c r="AG266" s="1" t="s">
        <v>43</v>
      </c>
      <c r="AH266" s="2">
        <v>45399</v>
      </c>
    </row>
    <row r="267" spans="1:34" x14ac:dyDescent="0.3">
      <c r="A267" s="1">
        <v>5066801</v>
      </c>
      <c r="B267" s="1">
        <v>10.93</v>
      </c>
      <c r="C267" s="1">
        <v>489</v>
      </c>
      <c r="D267" s="1">
        <v>549</v>
      </c>
      <c r="E267" s="1" t="s">
        <v>43</v>
      </c>
      <c r="F267" s="1">
        <v>0</v>
      </c>
      <c r="G267" s="1" t="s">
        <v>1165</v>
      </c>
      <c r="H267" s="1" t="s">
        <v>1166</v>
      </c>
      <c r="I267" s="1" t="str">
        <f>HYPERLINK("https://www.systembolaget.se/produkt/sprit/drumshanbo-sardinian-5066801/","https://www.systembolaget.se/produkt/sprit/drumshanbo-sardinian-5066801/")</f>
        <v>https://www.systembolaget.se/produkt/sprit/drumshanbo-sardinian-5066801/</v>
      </c>
      <c r="J267" s="1">
        <v>-1.66</v>
      </c>
      <c r="K267" s="1">
        <v>10.93</v>
      </c>
      <c r="L267" s="2">
        <v>45389</v>
      </c>
      <c r="M267" s="1" t="s">
        <v>1163</v>
      </c>
      <c r="N267" s="1">
        <v>0.62</v>
      </c>
      <c r="O267" s="1">
        <v>700</v>
      </c>
      <c r="P267" s="1">
        <v>43</v>
      </c>
      <c r="Q267" s="1" t="s">
        <v>308</v>
      </c>
      <c r="R267" s="1" t="s">
        <v>487</v>
      </c>
      <c r="S267" s="1" t="s">
        <v>488</v>
      </c>
      <c r="T267" s="1"/>
      <c r="U267" s="1" t="s">
        <v>311</v>
      </c>
      <c r="V267" s="1"/>
      <c r="W267" s="1"/>
      <c r="X267" s="1" t="s">
        <v>1164</v>
      </c>
      <c r="Y267" s="1" t="s">
        <v>1006</v>
      </c>
      <c r="Z267" s="1" t="s">
        <v>43</v>
      </c>
      <c r="AA267" s="1"/>
      <c r="AB267" s="1" t="s">
        <v>44</v>
      </c>
      <c r="AC267" s="1" t="s">
        <v>45</v>
      </c>
      <c r="AD267" s="1" t="s">
        <v>43</v>
      </c>
      <c r="AE267" s="1" t="s">
        <v>43</v>
      </c>
      <c r="AF267" s="1"/>
      <c r="AG267" s="1" t="s">
        <v>43</v>
      </c>
      <c r="AH267" s="2">
        <v>44991</v>
      </c>
    </row>
    <row r="268" spans="1:34" x14ac:dyDescent="0.3">
      <c r="A268" s="1">
        <v>5231001</v>
      </c>
      <c r="B268" s="1">
        <v>10.93</v>
      </c>
      <c r="C268" s="1">
        <v>489</v>
      </c>
      <c r="D268" s="1">
        <v>549</v>
      </c>
      <c r="E268" s="1" t="s">
        <v>43</v>
      </c>
      <c r="F268" s="1">
        <v>0</v>
      </c>
      <c r="G268" s="1" t="s">
        <v>1162</v>
      </c>
      <c r="H268" s="1" t="s">
        <v>1167</v>
      </c>
      <c r="I268" s="1" t="str">
        <f>HYPERLINK("https://www.systembolaget.se/produkt/sprit/drumshanbo-5231001/","https://www.systembolaget.se/produkt/sprit/drumshanbo-5231001/")</f>
        <v>https://www.systembolaget.se/produkt/sprit/drumshanbo-5231001/</v>
      </c>
      <c r="J268" s="1">
        <v>-1.66</v>
      </c>
      <c r="K268" s="1">
        <v>10.93</v>
      </c>
      <c r="L268" s="2">
        <v>45389</v>
      </c>
      <c r="M268" s="1" t="s">
        <v>1163</v>
      </c>
      <c r="N268" s="1">
        <v>0.62</v>
      </c>
      <c r="O268" s="1">
        <v>700</v>
      </c>
      <c r="P268" s="1">
        <v>43</v>
      </c>
      <c r="Q268" s="1" t="s">
        <v>308</v>
      </c>
      <c r="R268" s="1" t="s">
        <v>487</v>
      </c>
      <c r="S268" s="1" t="s">
        <v>488</v>
      </c>
      <c r="T268" s="1"/>
      <c r="U268" s="1" t="s">
        <v>311</v>
      </c>
      <c r="V268" s="1"/>
      <c r="W268" s="1"/>
      <c r="X268" s="1" t="s">
        <v>1164</v>
      </c>
      <c r="Y268" s="1" t="s">
        <v>1006</v>
      </c>
      <c r="Z268" s="1" t="s">
        <v>43</v>
      </c>
      <c r="AA268" s="1"/>
      <c r="AB268" s="1" t="s">
        <v>44</v>
      </c>
      <c r="AC268" s="1" t="s">
        <v>45</v>
      </c>
      <c r="AD268" s="1" t="s">
        <v>43</v>
      </c>
      <c r="AE268" s="1" t="s">
        <v>43</v>
      </c>
      <c r="AF268" s="1"/>
      <c r="AG268" s="1" t="s">
        <v>43</v>
      </c>
      <c r="AH268" s="2">
        <v>44991</v>
      </c>
    </row>
    <row r="269" spans="1:34" x14ac:dyDescent="0.3">
      <c r="A269" s="1">
        <v>233201</v>
      </c>
      <c r="B269" s="1">
        <v>10.85</v>
      </c>
      <c r="C269" s="1">
        <v>115</v>
      </c>
      <c r="D269" s="1">
        <v>129</v>
      </c>
      <c r="E269" s="1" t="s">
        <v>43</v>
      </c>
      <c r="F269" s="1">
        <v>0</v>
      </c>
      <c r="G269" s="1" t="s">
        <v>1168</v>
      </c>
      <c r="H269" s="1" t="s">
        <v>1169</v>
      </c>
      <c r="I269" s="1" t="str">
        <f>HYPERLINK("https://www.systembolaget.se/produkt/vin/weingut-landmann-233201/","https://www.systembolaget.se/produkt/vin/weingut-landmann-233201/")</f>
        <v>https://www.systembolaget.se/produkt/vin/weingut-landmann-233201/</v>
      </c>
      <c r="J269" s="1">
        <v>17.27</v>
      </c>
      <c r="K269" s="1">
        <v>10.85</v>
      </c>
      <c r="L269" s="2">
        <v>45607</v>
      </c>
      <c r="M269" s="1" t="s">
        <v>1170</v>
      </c>
      <c r="N269" s="1">
        <v>0.85</v>
      </c>
      <c r="O269" s="1">
        <v>750</v>
      </c>
      <c r="P269" s="1">
        <v>13</v>
      </c>
      <c r="Q269" s="1" t="s">
        <v>38</v>
      </c>
      <c r="R269" s="1" t="s">
        <v>52</v>
      </c>
      <c r="S269" s="1" t="s">
        <v>386</v>
      </c>
      <c r="T269" s="1"/>
      <c r="U269" s="1" t="s">
        <v>119</v>
      </c>
      <c r="V269" s="1" t="s">
        <v>729</v>
      </c>
      <c r="W269" s="1"/>
      <c r="X269" s="1" t="s">
        <v>1171</v>
      </c>
      <c r="Y269" s="1" t="s">
        <v>153</v>
      </c>
      <c r="Z269" s="1" t="s">
        <v>46</v>
      </c>
      <c r="AA269" s="1">
        <v>2022</v>
      </c>
      <c r="AB269" s="1" t="s">
        <v>77</v>
      </c>
      <c r="AC269" s="1" t="s">
        <v>90</v>
      </c>
      <c r="AD269" s="1" t="s">
        <v>43</v>
      </c>
      <c r="AE269" s="1" t="s">
        <v>43</v>
      </c>
      <c r="AF269" s="1">
        <v>2</v>
      </c>
      <c r="AG269" s="1" t="s">
        <v>43</v>
      </c>
      <c r="AH269" s="2">
        <v>45628</v>
      </c>
    </row>
    <row r="270" spans="1:34" x14ac:dyDescent="0.3">
      <c r="A270" s="1">
        <v>7238701</v>
      </c>
      <c r="B270" s="1">
        <v>10.85</v>
      </c>
      <c r="C270" s="1">
        <v>115</v>
      </c>
      <c r="D270" s="1">
        <v>129</v>
      </c>
      <c r="E270" s="1" t="s">
        <v>43</v>
      </c>
      <c r="F270" s="1">
        <v>0</v>
      </c>
      <c r="G270" s="1" t="s">
        <v>1172</v>
      </c>
      <c r="H270" s="1" t="s">
        <v>1173</v>
      </c>
      <c r="I270" s="1" t="str">
        <f>HYPERLINK("https://www.systembolaget.se/produkt/vin/lynx-7238701/","https://www.systembolaget.se/produkt/vin/lynx-7238701/")</f>
        <v>https://www.systembolaget.se/produkt/vin/lynx-7238701/</v>
      </c>
      <c r="J270" s="1">
        <v>17.27</v>
      </c>
      <c r="K270" s="1">
        <v>10.85</v>
      </c>
      <c r="L270" s="2">
        <v>45389</v>
      </c>
      <c r="M270" s="1" t="s">
        <v>1174</v>
      </c>
      <c r="N270" s="1">
        <v>0.88</v>
      </c>
      <c r="O270" s="1">
        <v>750</v>
      </c>
      <c r="P270" s="1">
        <v>13.5</v>
      </c>
      <c r="Q270" s="1" t="s">
        <v>38</v>
      </c>
      <c r="R270" s="1" t="s">
        <v>52</v>
      </c>
      <c r="S270" s="1" t="s">
        <v>84</v>
      </c>
      <c r="T270" s="1"/>
      <c r="U270" s="1" t="s">
        <v>73</v>
      </c>
      <c r="V270" s="1" t="s">
        <v>74</v>
      </c>
      <c r="W270" s="1"/>
      <c r="X270" s="1" t="s">
        <v>1175</v>
      </c>
      <c r="Y270" s="1" t="s">
        <v>334</v>
      </c>
      <c r="Z270" s="1" t="s">
        <v>43</v>
      </c>
      <c r="AA270" s="1">
        <v>2023</v>
      </c>
      <c r="AB270" s="1" t="s">
        <v>44</v>
      </c>
      <c r="AC270" s="1" t="s">
        <v>90</v>
      </c>
      <c r="AD270" s="1" t="s">
        <v>43</v>
      </c>
      <c r="AE270" s="1" t="s">
        <v>43</v>
      </c>
      <c r="AF270" s="1">
        <v>11</v>
      </c>
      <c r="AG270" s="1" t="s">
        <v>43</v>
      </c>
      <c r="AH270" s="2">
        <v>42870</v>
      </c>
    </row>
    <row r="271" spans="1:34" x14ac:dyDescent="0.3">
      <c r="A271" s="1">
        <v>7832001</v>
      </c>
      <c r="B271" s="1">
        <v>10.81</v>
      </c>
      <c r="C271" s="1">
        <v>3299</v>
      </c>
      <c r="D271" s="1">
        <v>3699</v>
      </c>
      <c r="E271" s="1" t="s">
        <v>43</v>
      </c>
      <c r="F271" s="1">
        <v>0</v>
      </c>
      <c r="G271" s="1" t="s">
        <v>1176</v>
      </c>
      <c r="H271" s="1" t="s">
        <v>1177</v>
      </c>
      <c r="I271" s="1" t="str">
        <f>HYPERLINK("https://www.systembolaget.se/produkt/vin/bouchard-pere-et-fils-7832001/","https://www.systembolaget.se/produkt/vin/bouchard-pere-et-fils-7832001/")</f>
        <v>https://www.systembolaget.se/produkt/vin/bouchard-pere-et-fils-7832001/</v>
      </c>
      <c r="J271" s="1">
        <v>10.81</v>
      </c>
      <c r="K271" s="1">
        <v>10.81</v>
      </c>
      <c r="L271" s="2">
        <v>45964</v>
      </c>
      <c r="M271" s="1" t="s">
        <v>1178</v>
      </c>
      <c r="N271" s="1">
        <v>0.03</v>
      </c>
      <c r="O271" s="1">
        <v>750</v>
      </c>
      <c r="P271" s="1">
        <v>13.5</v>
      </c>
      <c r="Q271" s="1" t="s">
        <v>38</v>
      </c>
      <c r="R271" s="1" t="s">
        <v>52</v>
      </c>
      <c r="S271" s="1"/>
      <c r="T271" s="1"/>
      <c r="U271" s="1" t="s">
        <v>101</v>
      </c>
      <c r="V271" s="1" t="s">
        <v>142</v>
      </c>
      <c r="W271" s="1" t="s">
        <v>725</v>
      </c>
      <c r="X271" s="1" t="s">
        <v>1176</v>
      </c>
      <c r="Y271" s="1" t="s">
        <v>678</v>
      </c>
      <c r="Z271" s="1" t="s">
        <v>43</v>
      </c>
      <c r="AA271" s="1">
        <v>2022</v>
      </c>
      <c r="AB271" s="1" t="s">
        <v>44</v>
      </c>
      <c r="AC271" s="1" t="s">
        <v>45</v>
      </c>
      <c r="AD271" s="1" t="s">
        <v>43</v>
      </c>
      <c r="AE271" s="1" t="s">
        <v>43</v>
      </c>
      <c r="AF271" s="1"/>
      <c r="AG271" s="1" t="s">
        <v>43</v>
      </c>
      <c r="AH271" s="2">
        <v>45971</v>
      </c>
    </row>
    <row r="272" spans="1:34" x14ac:dyDescent="0.3">
      <c r="A272" s="1">
        <v>9052401</v>
      </c>
      <c r="B272" s="1">
        <v>10.76</v>
      </c>
      <c r="C272" s="1">
        <v>829</v>
      </c>
      <c r="D272" s="1">
        <v>929</v>
      </c>
      <c r="E272" s="1" t="s">
        <v>43</v>
      </c>
      <c r="F272" s="1">
        <v>0</v>
      </c>
      <c r="G272" s="1" t="s">
        <v>1179</v>
      </c>
      <c r="H272" s="1" t="s">
        <v>971</v>
      </c>
      <c r="I272" s="1" t="str">
        <f>HYPERLINK("https://www.systembolaget.se/produkt/vin/barolo-prapo-9052401/","https://www.systembolaget.se/produkt/vin/barolo-prapo-9052401/")</f>
        <v>https://www.systembolaget.se/produkt/vin/barolo-prapo-9052401/</v>
      </c>
      <c r="J272" s="1">
        <v>7.79</v>
      </c>
      <c r="K272" s="1">
        <v>10.76</v>
      </c>
      <c r="L272" s="2">
        <v>45512</v>
      </c>
      <c r="M272" s="1" t="s">
        <v>1180</v>
      </c>
      <c r="N272" s="1">
        <v>0.13</v>
      </c>
      <c r="O272" s="1">
        <v>750</v>
      </c>
      <c r="P272" s="1">
        <v>14.5</v>
      </c>
      <c r="Q272" s="1" t="s">
        <v>38</v>
      </c>
      <c r="R272" s="1" t="s">
        <v>52</v>
      </c>
      <c r="S272" s="1"/>
      <c r="T272" s="1"/>
      <c r="U272" s="1" t="s">
        <v>53</v>
      </c>
      <c r="V272" s="1" t="s">
        <v>95</v>
      </c>
      <c r="W272" s="1" t="s">
        <v>969</v>
      </c>
      <c r="X272" s="1" t="s">
        <v>971</v>
      </c>
      <c r="Y272" s="1" t="s">
        <v>678</v>
      </c>
      <c r="Z272" s="1" t="s">
        <v>43</v>
      </c>
      <c r="AA272" s="1">
        <v>2020</v>
      </c>
      <c r="AB272" s="1" t="s">
        <v>44</v>
      </c>
      <c r="AC272" s="1" t="s">
        <v>45</v>
      </c>
      <c r="AD272" s="1" t="s">
        <v>43</v>
      </c>
      <c r="AE272" s="1" t="s">
        <v>43</v>
      </c>
      <c r="AF272" s="1"/>
      <c r="AG272" s="1" t="s">
        <v>43</v>
      </c>
      <c r="AH272" s="2">
        <v>45533</v>
      </c>
    </row>
    <row r="273" spans="1:34" x14ac:dyDescent="0.3">
      <c r="A273" s="1">
        <v>8472201</v>
      </c>
      <c r="B273" s="1">
        <v>10.73</v>
      </c>
      <c r="C273" s="1">
        <v>499</v>
      </c>
      <c r="D273" s="1">
        <v>559</v>
      </c>
      <c r="E273" s="1" t="s">
        <v>43</v>
      </c>
      <c r="F273" s="1">
        <v>0</v>
      </c>
      <c r="G273" s="1" t="s">
        <v>638</v>
      </c>
      <c r="H273" s="1" t="s">
        <v>1181</v>
      </c>
      <c r="I273" s="1" t="str">
        <f>HYPERLINK("https://www.systembolaget.se/produkt/sprit/smokehead-8472201/","https://www.systembolaget.se/produkt/sprit/smokehead-8472201/")</f>
        <v>https://www.systembolaget.se/produkt/sprit/smokehead-8472201/</v>
      </c>
      <c r="J273" s="1">
        <v>9.11</v>
      </c>
      <c r="K273" s="1">
        <v>10.73</v>
      </c>
      <c r="L273" s="2">
        <v>45607</v>
      </c>
      <c r="M273" s="1" t="s">
        <v>1182</v>
      </c>
      <c r="N273" s="1">
        <v>0.56000000000000005</v>
      </c>
      <c r="O273" s="1">
        <v>700</v>
      </c>
      <c r="P273" s="1">
        <v>40</v>
      </c>
      <c r="Q273" s="1" t="s">
        <v>308</v>
      </c>
      <c r="R273" s="1" t="s">
        <v>309</v>
      </c>
      <c r="S273" s="1" t="s">
        <v>318</v>
      </c>
      <c r="T273" s="1"/>
      <c r="U273" s="1" t="s">
        <v>253</v>
      </c>
      <c r="V273" s="1" t="s">
        <v>254</v>
      </c>
      <c r="W273" s="1"/>
      <c r="X273" s="1" t="s">
        <v>319</v>
      </c>
      <c r="Y273" s="1" t="s">
        <v>256</v>
      </c>
      <c r="Z273" s="1" t="s">
        <v>43</v>
      </c>
      <c r="AA273" s="1"/>
      <c r="AB273" s="1" t="s">
        <v>44</v>
      </c>
      <c r="AC273" s="1" t="s">
        <v>45</v>
      </c>
      <c r="AD273" s="1" t="s">
        <v>43</v>
      </c>
      <c r="AE273" s="1" t="s">
        <v>43</v>
      </c>
      <c r="AF273" s="1"/>
      <c r="AG273" s="1" t="s">
        <v>43</v>
      </c>
      <c r="AH273" s="2">
        <v>45614</v>
      </c>
    </row>
    <row r="274" spans="1:34" x14ac:dyDescent="0.3">
      <c r="A274" s="1">
        <v>5564201</v>
      </c>
      <c r="B274" s="1">
        <v>10.61</v>
      </c>
      <c r="C274" s="1">
        <v>598</v>
      </c>
      <c r="D274" s="1">
        <v>669</v>
      </c>
      <c r="E274" s="1" t="s">
        <v>43</v>
      </c>
      <c r="F274" s="1">
        <v>0</v>
      </c>
      <c r="G274" s="1" t="s">
        <v>1183</v>
      </c>
      <c r="H274" s="1" t="s">
        <v>1184</v>
      </c>
      <c r="I274" s="1" t="str">
        <f>HYPERLINK("https://www.systembolaget.se/produkt/sprit/hebridean-5564201/","https://www.systembolaget.se/produkt/sprit/hebridean-5564201/")</f>
        <v>https://www.systembolaget.se/produkt/sprit/hebridean-5564201/</v>
      </c>
      <c r="J274" s="1">
        <v>10.48</v>
      </c>
      <c r="K274" s="1">
        <v>10.61</v>
      </c>
      <c r="L274" s="2">
        <v>45475</v>
      </c>
      <c r="M274" s="1" t="s">
        <v>1185</v>
      </c>
      <c r="N274" s="1">
        <v>0.54</v>
      </c>
      <c r="O274" s="1">
        <v>700</v>
      </c>
      <c r="P274" s="1">
        <v>46</v>
      </c>
      <c r="Q274" s="1" t="s">
        <v>308</v>
      </c>
      <c r="R274" s="1" t="s">
        <v>309</v>
      </c>
      <c r="S274" s="1" t="s">
        <v>318</v>
      </c>
      <c r="T274" s="1"/>
      <c r="U274" s="1" t="s">
        <v>253</v>
      </c>
      <c r="V274" s="1" t="s">
        <v>254</v>
      </c>
      <c r="W274" s="1" t="s">
        <v>721</v>
      </c>
      <c r="X274" s="1" t="s">
        <v>1186</v>
      </c>
      <c r="Y274" s="1" t="s">
        <v>857</v>
      </c>
      <c r="Z274" s="1" t="s">
        <v>43</v>
      </c>
      <c r="AA274" s="1"/>
      <c r="AB274" s="1" t="s">
        <v>44</v>
      </c>
      <c r="AC274" s="1" t="s">
        <v>45</v>
      </c>
      <c r="AD274" s="1" t="s">
        <v>43</v>
      </c>
      <c r="AE274" s="1" t="s">
        <v>43</v>
      </c>
      <c r="AF274" s="1"/>
      <c r="AG274" s="1" t="s">
        <v>43</v>
      </c>
      <c r="AH274" s="2">
        <v>44606</v>
      </c>
    </row>
    <row r="275" spans="1:34" x14ac:dyDescent="0.3">
      <c r="A275" s="1">
        <v>5564301</v>
      </c>
      <c r="B275" s="1">
        <v>10.61</v>
      </c>
      <c r="C275" s="1">
        <v>598</v>
      </c>
      <c r="D275" s="1">
        <v>669</v>
      </c>
      <c r="E275" s="1" t="s">
        <v>43</v>
      </c>
      <c r="F275" s="1">
        <v>0</v>
      </c>
      <c r="G275" s="1" t="s">
        <v>1187</v>
      </c>
      <c r="H275" s="1" t="s">
        <v>1184</v>
      </c>
      <c r="I275" s="1" t="str">
        <f>HYPERLINK("https://www.systembolaget.se/produkt/sprit/highland-5564301/","https://www.systembolaget.se/produkt/sprit/highland-5564301/")</f>
        <v>https://www.systembolaget.se/produkt/sprit/highland-5564301/</v>
      </c>
      <c r="J275" s="1">
        <v>10.48</v>
      </c>
      <c r="K275" s="1">
        <v>10.61</v>
      </c>
      <c r="L275" s="2">
        <v>45389</v>
      </c>
      <c r="M275" s="1" t="s">
        <v>1185</v>
      </c>
      <c r="N275" s="1">
        <v>0.54</v>
      </c>
      <c r="O275" s="1">
        <v>700</v>
      </c>
      <c r="P275" s="1">
        <v>46</v>
      </c>
      <c r="Q275" s="1" t="s">
        <v>308</v>
      </c>
      <c r="R275" s="1" t="s">
        <v>309</v>
      </c>
      <c r="S275" s="1" t="s">
        <v>318</v>
      </c>
      <c r="T275" s="1"/>
      <c r="U275" s="1" t="s">
        <v>253</v>
      </c>
      <c r="V275" s="1" t="s">
        <v>254</v>
      </c>
      <c r="W275" s="1" t="s">
        <v>721</v>
      </c>
      <c r="X275" s="1" t="s">
        <v>1186</v>
      </c>
      <c r="Y275" s="1" t="s">
        <v>857</v>
      </c>
      <c r="Z275" s="1" t="s">
        <v>43</v>
      </c>
      <c r="AA275" s="1"/>
      <c r="AB275" s="1" t="s">
        <v>44</v>
      </c>
      <c r="AC275" s="1" t="s">
        <v>45</v>
      </c>
      <c r="AD275" s="1" t="s">
        <v>43</v>
      </c>
      <c r="AE275" s="1" t="s">
        <v>43</v>
      </c>
      <c r="AF275" s="1"/>
      <c r="AG275" s="1" t="s">
        <v>43</v>
      </c>
      <c r="AH275" s="2">
        <v>44606</v>
      </c>
    </row>
    <row r="276" spans="1:34" x14ac:dyDescent="0.3">
      <c r="A276" s="1">
        <v>5564401</v>
      </c>
      <c r="B276" s="1">
        <v>10.61</v>
      </c>
      <c r="C276" s="1">
        <v>598</v>
      </c>
      <c r="D276" s="1">
        <v>669</v>
      </c>
      <c r="E276" s="1" t="s">
        <v>43</v>
      </c>
      <c r="F276" s="1">
        <v>0</v>
      </c>
      <c r="G276" s="1" t="s">
        <v>641</v>
      </c>
      <c r="H276" s="1" t="s">
        <v>1184</v>
      </c>
      <c r="I276" s="1" t="str">
        <f>HYPERLINK("https://www.systembolaget.se/produkt/sprit/islay-5564401/","https://www.systembolaget.se/produkt/sprit/islay-5564401/")</f>
        <v>https://www.systembolaget.se/produkt/sprit/islay-5564401/</v>
      </c>
      <c r="J276" s="1">
        <v>10.48</v>
      </c>
      <c r="K276" s="1">
        <v>10.61</v>
      </c>
      <c r="L276" s="2">
        <v>45389</v>
      </c>
      <c r="M276" s="1" t="s">
        <v>1185</v>
      </c>
      <c r="N276" s="1">
        <v>0.54</v>
      </c>
      <c r="O276" s="1">
        <v>700</v>
      </c>
      <c r="P276" s="1">
        <v>46</v>
      </c>
      <c r="Q276" s="1" t="s">
        <v>308</v>
      </c>
      <c r="R276" s="1" t="s">
        <v>309</v>
      </c>
      <c r="S276" s="1" t="s">
        <v>318</v>
      </c>
      <c r="T276" s="1"/>
      <c r="U276" s="1" t="s">
        <v>253</v>
      </c>
      <c r="V276" s="1" t="s">
        <v>254</v>
      </c>
      <c r="W276" s="1" t="s">
        <v>641</v>
      </c>
      <c r="X276" s="1" t="s">
        <v>1186</v>
      </c>
      <c r="Y276" s="1" t="s">
        <v>857</v>
      </c>
      <c r="Z276" s="1" t="s">
        <v>43</v>
      </c>
      <c r="AA276" s="1"/>
      <c r="AB276" s="1" t="s">
        <v>44</v>
      </c>
      <c r="AC276" s="1" t="s">
        <v>45</v>
      </c>
      <c r="AD276" s="1" t="s">
        <v>43</v>
      </c>
      <c r="AE276" s="1" t="s">
        <v>43</v>
      </c>
      <c r="AF276" s="1"/>
      <c r="AG276" s="1" t="s">
        <v>43</v>
      </c>
      <c r="AH276" s="2">
        <v>44606</v>
      </c>
    </row>
    <row r="277" spans="1:34" x14ac:dyDescent="0.3">
      <c r="A277" s="1">
        <v>8490101</v>
      </c>
      <c r="B277" s="1">
        <v>10.6</v>
      </c>
      <c r="C277" s="1">
        <v>1198</v>
      </c>
      <c r="D277" s="1">
        <v>1340</v>
      </c>
      <c r="E277" s="1" t="s">
        <v>43</v>
      </c>
      <c r="F277" s="1">
        <v>0</v>
      </c>
      <c r="G277" s="1" t="s">
        <v>1188</v>
      </c>
      <c r="H277" s="1" t="s">
        <v>1189</v>
      </c>
      <c r="I277" s="1" t="str">
        <f>HYPERLINK("https://www.systembolaget.se/produkt/sprit/annandale-defender-766-8490101/","https://www.systembolaget.se/produkt/sprit/annandale-defender-766-8490101/")</f>
        <v>https://www.systembolaget.se/produkt/sprit/annandale-defender-766-8490101/</v>
      </c>
      <c r="J277" s="1">
        <v>10.53</v>
      </c>
      <c r="K277" s="1">
        <v>10.6</v>
      </c>
      <c r="L277" s="2">
        <v>45469</v>
      </c>
      <c r="M277" s="1" t="s">
        <v>1190</v>
      </c>
      <c r="N277" s="1">
        <v>0.31</v>
      </c>
      <c r="O277" s="1">
        <v>700</v>
      </c>
      <c r="P277" s="1">
        <v>52.9</v>
      </c>
      <c r="Q277" s="1" t="s">
        <v>308</v>
      </c>
      <c r="R277" s="1" t="s">
        <v>309</v>
      </c>
      <c r="S277" s="1" t="s">
        <v>318</v>
      </c>
      <c r="T277" s="1"/>
      <c r="U277" s="1" t="s">
        <v>253</v>
      </c>
      <c r="V277" s="1" t="s">
        <v>254</v>
      </c>
      <c r="W277" s="1" t="s">
        <v>1191</v>
      </c>
      <c r="X277" s="1" t="s">
        <v>1077</v>
      </c>
      <c r="Y277" s="1" t="s">
        <v>857</v>
      </c>
      <c r="Z277" s="1" t="s">
        <v>43</v>
      </c>
      <c r="AA277" s="1"/>
      <c r="AB277" s="1" t="s">
        <v>44</v>
      </c>
      <c r="AC277" s="1" t="s">
        <v>45</v>
      </c>
      <c r="AD277" s="1" t="s">
        <v>43</v>
      </c>
      <c r="AE277" s="1" t="s">
        <v>43</v>
      </c>
      <c r="AF277" s="1"/>
      <c r="AG277" s="1" t="s">
        <v>43</v>
      </c>
      <c r="AH277" s="2">
        <v>45476</v>
      </c>
    </row>
    <row r="278" spans="1:34" x14ac:dyDescent="0.3">
      <c r="A278" s="1">
        <v>8992315</v>
      </c>
      <c r="B278" s="1">
        <v>10.58</v>
      </c>
      <c r="C278" s="1">
        <v>16.899999999999999</v>
      </c>
      <c r="D278" s="1">
        <v>18.899999999999999</v>
      </c>
      <c r="E278" s="1" t="s">
        <v>43</v>
      </c>
      <c r="F278" s="1">
        <v>0</v>
      </c>
      <c r="G278" s="1" t="s">
        <v>1192</v>
      </c>
      <c r="H278" s="1" t="s">
        <v>1193</v>
      </c>
      <c r="I278" s="1" t="str">
        <f>HYPERLINK("https://www.systembolaget.se/produkt/ol/gotlands-bryggeri-8992315/","https://www.systembolaget.se/produkt/ol/gotlands-bryggeri-8992315/")</f>
        <v>https://www.systembolaget.se/produkt/ol/gotlands-bryggeri-8992315/</v>
      </c>
      <c r="J278" s="1">
        <v>10.58</v>
      </c>
      <c r="K278" s="1">
        <v>10.58</v>
      </c>
      <c r="L278" s="2">
        <v>45389</v>
      </c>
      <c r="M278" s="1" t="s">
        <v>1194</v>
      </c>
      <c r="N278" s="1">
        <v>0.94</v>
      </c>
      <c r="O278" s="1">
        <v>330</v>
      </c>
      <c r="P278" s="1">
        <v>4.8</v>
      </c>
      <c r="Q278" s="1" t="s">
        <v>107</v>
      </c>
      <c r="R278" s="1" t="s">
        <v>108</v>
      </c>
      <c r="S278" s="1" t="s">
        <v>1195</v>
      </c>
      <c r="T278" s="1"/>
      <c r="U278" s="1" t="s">
        <v>110</v>
      </c>
      <c r="V278" s="1"/>
      <c r="W278" s="1"/>
      <c r="X278" s="1" t="s">
        <v>1192</v>
      </c>
      <c r="Y278" s="1" t="s">
        <v>285</v>
      </c>
      <c r="Z278" s="1" t="s">
        <v>43</v>
      </c>
      <c r="AA278" s="1"/>
      <c r="AB278" s="1" t="s">
        <v>114</v>
      </c>
      <c r="AC278" s="1" t="s">
        <v>90</v>
      </c>
      <c r="AD278" s="1" t="s">
        <v>43</v>
      </c>
      <c r="AE278" s="1" t="s">
        <v>43</v>
      </c>
      <c r="AF278" s="1"/>
      <c r="AG278" s="1" t="s">
        <v>43</v>
      </c>
      <c r="AH278" s="2">
        <v>45173</v>
      </c>
    </row>
    <row r="279" spans="1:34" x14ac:dyDescent="0.3">
      <c r="A279" s="1">
        <v>8992335</v>
      </c>
      <c r="B279" s="1">
        <v>10.58</v>
      </c>
      <c r="C279" s="1">
        <v>16.899999999999999</v>
      </c>
      <c r="D279" s="1">
        <v>18.899999999999999</v>
      </c>
      <c r="E279" s="1" t="s">
        <v>43</v>
      </c>
      <c r="F279" s="1">
        <v>0</v>
      </c>
      <c r="G279" s="1" t="s">
        <v>1192</v>
      </c>
      <c r="H279" s="1" t="s">
        <v>1193</v>
      </c>
      <c r="I279" s="1" t="str">
        <f>HYPERLINK("https://www.systembolaget.se/produkt/ol/gotlands-bryggeri-8992335/","https://www.systembolaget.se/produkt/ol/gotlands-bryggeri-8992335/")</f>
        <v>https://www.systembolaget.se/produkt/ol/gotlands-bryggeri-8992335/</v>
      </c>
      <c r="J279" s="1"/>
      <c r="K279" s="1">
        <v>10.58</v>
      </c>
      <c r="L279" s="2">
        <v>46106</v>
      </c>
      <c r="M279" s="1" t="s">
        <v>1194</v>
      </c>
      <c r="N279" s="1">
        <v>0.94</v>
      </c>
      <c r="O279" s="1">
        <v>330</v>
      </c>
      <c r="P279" s="1">
        <v>4.8</v>
      </c>
      <c r="Q279" s="1" t="s">
        <v>107</v>
      </c>
      <c r="R279" s="1" t="s">
        <v>108</v>
      </c>
      <c r="S279" s="1" t="s">
        <v>1195</v>
      </c>
      <c r="T279" s="1"/>
      <c r="U279" s="1" t="s">
        <v>110</v>
      </c>
      <c r="V279" s="1"/>
      <c r="W279" s="1"/>
      <c r="X279" s="1" t="s">
        <v>1192</v>
      </c>
      <c r="Y279" s="1" t="s">
        <v>285</v>
      </c>
      <c r="Z279" s="1" t="s">
        <v>43</v>
      </c>
      <c r="AA279" s="1"/>
      <c r="AB279" s="1" t="s">
        <v>114</v>
      </c>
      <c r="AC279" s="1" t="s">
        <v>90</v>
      </c>
      <c r="AD279" s="1" t="s">
        <v>43</v>
      </c>
      <c r="AE279" s="1" t="s">
        <v>43</v>
      </c>
      <c r="AF279" s="1"/>
      <c r="AG279" s="1" t="s">
        <v>43</v>
      </c>
      <c r="AH279" s="2">
        <v>46113</v>
      </c>
    </row>
    <row r="280" spans="1:34" x14ac:dyDescent="0.3">
      <c r="A280" s="1">
        <v>257601</v>
      </c>
      <c r="B280" s="1">
        <v>10.58</v>
      </c>
      <c r="C280" s="1">
        <v>169</v>
      </c>
      <c r="D280" s="1">
        <v>189</v>
      </c>
      <c r="E280" s="1" t="s">
        <v>43</v>
      </c>
      <c r="F280" s="1">
        <v>0</v>
      </c>
      <c r="G280" s="1" t="s">
        <v>1196</v>
      </c>
      <c r="H280" s="1" t="s">
        <v>1197</v>
      </c>
      <c r="I280" s="1" t="str">
        <f>HYPERLINK("https://www.systembolaget.se/produkt/vin/col-d-orcia-257601/","https://www.systembolaget.se/produkt/vin/col-d-orcia-257601/")</f>
        <v>https://www.systembolaget.se/produkt/vin/col-d-orcia-257601/</v>
      </c>
      <c r="J280" s="1">
        <v>10.58</v>
      </c>
      <c r="K280" s="1">
        <v>10.58</v>
      </c>
      <c r="L280" s="2">
        <v>45462</v>
      </c>
      <c r="M280" s="1" t="s">
        <v>1198</v>
      </c>
      <c r="N280" s="1">
        <v>0.62</v>
      </c>
      <c r="O280" s="1">
        <v>750</v>
      </c>
      <c r="P280" s="1">
        <v>14</v>
      </c>
      <c r="Q280" s="1" t="s">
        <v>38</v>
      </c>
      <c r="R280" s="1" t="s">
        <v>52</v>
      </c>
      <c r="S280" s="1" t="s">
        <v>386</v>
      </c>
      <c r="T280" s="1"/>
      <c r="U280" s="1" t="s">
        <v>53</v>
      </c>
      <c r="V280" s="1" t="s">
        <v>63</v>
      </c>
      <c r="W280" s="1" t="s">
        <v>1197</v>
      </c>
      <c r="X280" s="1" t="s">
        <v>1196</v>
      </c>
      <c r="Y280" s="1" t="s">
        <v>175</v>
      </c>
      <c r="Z280" s="1" t="s">
        <v>46</v>
      </c>
      <c r="AA280" s="1">
        <v>2024</v>
      </c>
      <c r="AB280" s="1" t="s">
        <v>44</v>
      </c>
      <c r="AC280" s="1" t="s">
        <v>90</v>
      </c>
      <c r="AD280" s="1" t="s">
        <v>43</v>
      </c>
      <c r="AE280" s="1" t="s">
        <v>43</v>
      </c>
      <c r="AF280" s="1">
        <v>2</v>
      </c>
      <c r="AG280" s="1" t="s">
        <v>43</v>
      </c>
      <c r="AH280" s="2">
        <v>43801</v>
      </c>
    </row>
    <row r="281" spans="1:34" x14ac:dyDescent="0.3">
      <c r="A281" s="1">
        <v>7266101</v>
      </c>
      <c r="B281" s="1">
        <v>10.54</v>
      </c>
      <c r="C281" s="1">
        <v>849</v>
      </c>
      <c r="D281" s="1">
        <v>949</v>
      </c>
      <c r="E281" s="1" t="s">
        <v>43</v>
      </c>
      <c r="F281" s="1">
        <v>0</v>
      </c>
      <c r="G281" s="1" t="s">
        <v>971</v>
      </c>
      <c r="H281" s="1" t="s">
        <v>1179</v>
      </c>
      <c r="I281" s="1" t="str">
        <f>HYPERLINK("https://www.systembolaget.se/produkt/vin/paolo-scavino-7266101/","https://www.systembolaget.se/produkt/vin/paolo-scavino-7266101/")</f>
        <v>https://www.systembolaget.se/produkt/vin/paolo-scavino-7266101/</v>
      </c>
      <c r="J281" s="1"/>
      <c r="K281" s="1">
        <v>10.54</v>
      </c>
      <c r="L281" s="2">
        <v>46034</v>
      </c>
      <c r="M281" s="1" t="s">
        <v>1199</v>
      </c>
      <c r="N281" s="1">
        <v>0.13</v>
      </c>
      <c r="O281" s="1">
        <v>750</v>
      </c>
      <c r="P281" s="1">
        <v>14.5</v>
      </c>
      <c r="Q281" s="1" t="s">
        <v>38</v>
      </c>
      <c r="R281" s="1" t="s">
        <v>52</v>
      </c>
      <c r="S281" s="1"/>
      <c r="T281" s="1"/>
      <c r="U281" s="1" t="s">
        <v>53</v>
      </c>
      <c r="V281" s="1" t="s">
        <v>95</v>
      </c>
      <c r="W281" s="1" t="s">
        <v>969</v>
      </c>
      <c r="X281" s="1" t="s">
        <v>971</v>
      </c>
      <c r="Y281" s="1" t="s">
        <v>678</v>
      </c>
      <c r="Z281" s="1" t="s">
        <v>43</v>
      </c>
      <c r="AA281" s="1">
        <v>2021</v>
      </c>
      <c r="AB281" s="1" t="s">
        <v>44</v>
      </c>
      <c r="AC281" s="1" t="s">
        <v>45</v>
      </c>
      <c r="AD281" s="1" t="s">
        <v>43</v>
      </c>
      <c r="AE281" s="1" t="s">
        <v>43</v>
      </c>
      <c r="AF281" s="1"/>
      <c r="AG281" s="1" t="s">
        <v>43</v>
      </c>
      <c r="AH281" s="2">
        <v>46041</v>
      </c>
    </row>
    <row r="282" spans="1:34" x14ac:dyDescent="0.3">
      <c r="A282" s="1">
        <v>7402501</v>
      </c>
      <c r="B282" s="1">
        <v>10.54</v>
      </c>
      <c r="C282" s="1">
        <v>849</v>
      </c>
      <c r="D282" s="1">
        <v>949</v>
      </c>
      <c r="E282" s="1" t="s">
        <v>43</v>
      </c>
      <c r="F282" s="1">
        <v>0</v>
      </c>
      <c r="G282" s="1" t="s">
        <v>1200</v>
      </c>
      <c r="H282" s="1" t="s">
        <v>971</v>
      </c>
      <c r="I282" s="1" t="str">
        <f>HYPERLINK("https://www.systembolaget.se/produkt/vin/barolo-ravera-7402501/","https://www.systembolaget.se/produkt/vin/barolo-ravera-7402501/")</f>
        <v>https://www.systembolaget.se/produkt/vin/barolo-ravera-7402501/</v>
      </c>
      <c r="J282" s="1">
        <v>8.61</v>
      </c>
      <c r="K282" s="1">
        <v>10.54</v>
      </c>
      <c r="L282" s="2">
        <v>45922</v>
      </c>
      <c r="M282" s="1" t="s">
        <v>1201</v>
      </c>
      <c r="N282" s="1">
        <v>0.13</v>
      </c>
      <c r="O282" s="1">
        <v>750</v>
      </c>
      <c r="P282" s="1">
        <v>15</v>
      </c>
      <c r="Q282" s="1" t="s">
        <v>38</v>
      </c>
      <c r="R282" s="1" t="s">
        <v>52</v>
      </c>
      <c r="S282" s="1"/>
      <c r="T282" s="1"/>
      <c r="U282" s="1" t="s">
        <v>53</v>
      </c>
      <c r="V282" s="1" t="s">
        <v>95</v>
      </c>
      <c r="W282" s="1" t="s">
        <v>969</v>
      </c>
      <c r="X282" s="1" t="s">
        <v>971</v>
      </c>
      <c r="Y282" s="1" t="s">
        <v>678</v>
      </c>
      <c r="Z282" s="1" t="s">
        <v>43</v>
      </c>
      <c r="AA282" s="1">
        <v>2021</v>
      </c>
      <c r="AB282" s="1" t="s">
        <v>44</v>
      </c>
      <c r="AC282" s="1" t="s">
        <v>45</v>
      </c>
      <c r="AD282" s="1" t="s">
        <v>43</v>
      </c>
      <c r="AE282" s="1" t="s">
        <v>43</v>
      </c>
      <c r="AF282" s="1"/>
      <c r="AG282" s="1" t="s">
        <v>43</v>
      </c>
      <c r="AH282" s="2">
        <v>45929</v>
      </c>
    </row>
    <row r="283" spans="1:34" x14ac:dyDescent="0.3">
      <c r="A283" s="1">
        <v>9277201</v>
      </c>
      <c r="B283" s="1">
        <v>10.54</v>
      </c>
      <c r="C283" s="1">
        <v>849</v>
      </c>
      <c r="D283" s="1">
        <v>949</v>
      </c>
      <c r="E283" s="1" t="s">
        <v>43</v>
      </c>
      <c r="F283" s="1">
        <v>0</v>
      </c>
      <c r="G283" s="1" t="s">
        <v>1200</v>
      </c>
      <c r="H283" s="1" t="s">
        <v>971</v>
      </c>
      <c r="I283" s="1" t="str">
        <f>HYPERLINK("https://www.systembolaget.se/produkt/vin/barolo-ravera-9277201/","https://www.systembolaget.se/produkt/vin/barolo-ravera-9277201/")</f>
        <v>https://www.systembolaget.se/produkt/vin/barolo-ravera-9277201/</v>
      </c>
      <c r="J283" s="1">
        <v>5.56</v>
      </c>
      <c r="K283" s="1">
        <v>10.54</v>
      </c>
      <c r="L283" s="2">
        <v>45512</v>
      </c>
      <c r="M283" s="1" t="s">
        <v>1199</v>
      </c>
      <c r="N283" s="1">
        <v>0.13</v>
      </c>
      <c r="O283" s="1">
        <v>750</v>
      </c>
      <c r="P283" s="1">
        <v>14.5</v>
      </c>
      <c r="Q283" s="1" t="s">
        <v>38</v>
      </c>
      <c r="R283" s="1" t="s">
        <v>52</v>
      </c>
      <c r="S283" s="1"/>
      <c r="T283" s="1"/>
      <c r="U283" s="1" t="s">
        <v>53</v>
      </c>
      <c r="V283" s="1" t="s">
        <v>95</v>
      </c>
      <c r="W283" s="1" t="s">
        <v>969</v>
      </c>
      <c r="X283" s="1" t="s">
        <v>971</v>
      </c>
      <c r="Y283" s="1" t="s">
        <v>678</v>
      </c>
      <c r="Z283" s="1" t="s">
        <v>43</v>
      </c>
      <c r="AA283" s="1">
        <v>2020</v>
      </c>
      <c r="AB283" s="1" t="s">
        <v>44</v>
      </c>
      <c r="AC283" s="1" t="s">
        <v>45</v>
      </c>
      <c r="AD283" s="1" t="s">
        <v>43</v>
      </c>
      <c r="AE283" s="1" t="s">
        <v>43</v>
      </c>
      <c r="AF283" s="1"/>
      <c r="AG283" s="1" t="s">
        <v>43</v>
      </c>
      <c r="AH283" s="2">
        <v>45533</v>
      </c>
    </row>
    <row r="284" spans="1:34" x14ac:dyDescent="0.3">
      <c r="A284" s="1">
        <v>9503601</v>
      </c>
      <c r="B284" s="1">
        <v>10.54</v>
      </c>
      <c r="C284" s="1">
        <v>849</v>
      </c>
      <c r="D284" s="1">
        <v>949</v>
      </c>
      <c r="E284" s="1" t="s">
        <v>43</v>
      </c>
      <c r="F284" s="1">
        <v>0</v>
      </c>
      <c r="G284" s="1" t="s">
        <v>1202</v>
      </c>
      <c r="H284" s="1" t="s">
        <v>971</v>
      </c>
      <c r="I284" s="1" t="str">
        <f>HYPERLINK("https://www.systembolaget.se/produkt/vin/barolo-monvigliero-9503601/","https://www.systembolaget.se/produkt/vin/barolo-monvigliero-9503601/")</f>
        <v>https://www.systembolaget.se/produkt/vin/barolo-monvigliero-9503601/</v>
      </c>
      <c r="J284" s="1">
        <v>5.56</v>
      </c>
      <c r="K284" s="1">
        <v>10.54</v>
      </c>
      <c r="L284" s="2">
        <v>45925</v>
      </c>
      <c r="M284" s="1" t="s">
        <v>1199</v>
      </c>
      <c r="N284" s="1">
        <v>0.13</v>
      </c>
      <c r="O284" s="1">
        <v>750</v>
      </c>
      <c r="P284" s="1">
        <v>14.5</v>
      </c>
      <c r="Q284" s="1" t="s">
        <v>38</v>
      </c>
      <c r="R284" s="1" t="s">
        <v>52</v>
      </c>
      <c r="S284" s="1"/>
      <c r="T284" s="1"/>
      <c r="U284" s="1" t="s">
        <v>53</v>
      </c>
      <c r="V284" s="1" t="s">
        <v>95</v>
      </c>
      <c r="W284" s="1" t="s">
        <v>969</v>
      </c>
      <c r="X284" s="1" t="s">
        <v>971</v>
      </c>
      <c r="Y284" s="1" t="s">
        <v>678</v>
      </c>
      <c r="Z284" s="1" t="s">
        <v>43</v>
      </c>
      <c r="AA284" s="1">
        <v>2021</v>
      </c>
      <c r="AB284" s="1" t="s">
        <v>44</v>
      </c>
      <c r="AC284" s="1" t="s">
        <v>45</v>
      </c>
      <c r="AD284" s="1" t="s">
        <v>43</v>
      </c>
      <c r="AE284" s="1" t="s">
        <v>43</v>
      </c>
      <c r="AF284" s="1"/>
      <c r="AG284" s="1" t="s">
        <v>43</v>
      </c>
      <c r="AH284" s="2">
        <v>45946</v>
      </c>
    </row>
    <row r="285" spans="1:34" x14ac:dyDescent="0.3">
      <c r="A285" s="1">
        <v>7910101</v>
      </c>
      <c r="B285" s="1">
        <v>10.54</v>
      </c>
      <c r="C285" s="1">
        <v>849</v>
      </c>
      <c r="D285" s="1">
        <v>949</v>
      </c>
      <c r="E285" s="1" t="s">
        <v>43</v>
      </c>
      <c r="F285" s="1">
        <v>0</v>
      </c>
      <c r="G285" s="1" t="s">
        <v>1202</v>
      </c>
      <c r="H285" s="1" t="s">
        <v>971</v>
      </c>
      <c r="I285" s="1" t="str">
        <f>HYPERLINK("https://www.systembolaget.se/produkt/vin/barolo-monvigliero-7910101/","https://www.systembolaget.se/produkt/vin/barolo-monvigliero-7910101/")</f>
        <v>https://www.systembolaget.se/produkt/vin/barolo-monvigliero-7910101/</v>
      </c>
      <c r="J285" s="1"/>
      <c r="K285" s="1">
        <v>10.54</v>
      </c>
      <c r="L285" s="2">
        <v>46083</v>
      </c>
      <c r="M285" s="1" t="s">
        <v>1203</v>
      </c>
      <c r="N285" s="1">
        <v>0.13</v>
      </c>
      <c r="O285" s="1">
        <v>750</v>
      </c>
      <c r="P285" s="1">
        <v>14.5</v>
      </c>
      <c r="Q285" s="1" t="s">
        <v>38</v>
      </c>
      <c r="R285" s="1" t="s">
        <v>52</v>
      </c>
      <c r="S285" s="1"/>
      <c r="T285" s="1"/>
      <c r="U285" s="1" t="s">
        <v>53</v>
      </c>
      <c r="V285" s="1" t="s">
        <v>95</v>
      </c>
      <c r="W285" s="1" t="s">
        <v>969</v>
      </c>
      <c r="X285" s="1" t="s">
        <v>971</v>
      </c>
      <c r="Y285" s="1" t="s">
        <v>678</v>
      </c>
      <c r="Z285" s="1" t="s">
        <v>43</v>
      </c>
      <c r="AA285" s="1">
        <v>2020</v>
      </c>
      <c r="AB285" s="1" t="s">
        <v>44</v>
      </c>
      <c r="AC285" s="1" t="s">
        <v>45</v>
      </c>
      <c r="AD285" s="1" t="s">
        <v>43</v>
      </c>
      <c r="AE285" s="1" t="s">
        <v>43</v>
      </c>
      <c r="AF285" s="1"/>
      <c r="AG285" s="1" t="s">
        <v>43</v>
      </c>
      <c r="AH285" s="2">
        <v>46090</v>
      </c>
    </row>
    <row r="286" spans="1:34" x14ac:dyDescent="0.3">
      <c r="A286" s="1">
        <v>8478801</v>
      </c>
      <c r="B286" s="1">
        <v>10.51</v>
      </c>
      <c r="C286" s="1">
        <v>349</v>
      </c>
      <c r="D286" s="1">
        <v>390</v>
      </c>
      <c r="E286" s="1" t="s">
        <v>43</v>
      </c>
      <c r="F286" s="1">
        <v>0</v>
      </c>
      <c r="G286" s="1" t="s">
        <v>540</v>
      </c>
      <c r="H286" s="1" t="s">
        <v>1204</v>
      </c>
      <c r="I286" s="1" t="str">
        <f>HYPERLINK("https://www.systembolaget.se/produkt/sprit/edinburgh-gin-8478801/","https://www.systembolaget.se/produkt/sprit/edinburgh-gin-8478801/")</f>
        <v>https://www.systembolaget.se/produkt/sprit/edinburgh-gin-8478801/</v>
      </c>
      <c r="J286" s="1">
        <v>10.28</v>
      </c>
      <c r="K286" s="1">
        <v>10.51</v>
      </c>
      <c r="L286" s="2">
        <v>45755</v>
      </c>
      <c r="M286" s="1" t="s">
        <v>1205</v>
      </c>
      <c r="N286" s="1">
        <v>0.8</v>
      </c>
      <c r="O286" s="1">
        <v>700</v>
      </c>
      <c r="P286" s="1">
        <v>40</v>
      </c>
      <c r="Q286" s="1" t="s">
        <v>308</v>
      </c>
      <c r="R286" s="1" t="s">
        <v>487</v>
      </c>
      <c r="S286" s="1" t="s">
        <v>488</v>
      </c>
      <c r="T286" s="1"/>
      <c r="U286" s="1" t="s">
        <v>253</v>
      </c>
      <c r="V286" s="1"/>
      <c r="W286" s="1"/>
      <c r="X286" s="1" t="s">
        <v>319</v>
      </c>
      <c r="Y286" s="1" t="s">
        <v>256</v>
      </c>
      <c r="Z286" s="1" t="s">
        <v>43</v>
      </c>
      <c r="AA286" s="1"/>
      <c r="AB286" s="1" t="s">
        <v>44</v>
      </c>
      <c r="AC286" s="1" t="s">
        <v>45</v>
      </c>
      <c r="AD286" s="1" t="s">
        <v>43</v>
      </c>
      <c r="AE286" s="1" t="s">
        <v>43</v>
      </c>
      <c r="AF286" s="1"/>
      <c r="AG286" s="1" t="s">
        <v>43</v>
      </c>
      <c r="AH286" s="2">
        <v>45762</v>
      </c>
    </row>
    <row r="287" spans="1:34" x14ac:dyDescent="0.3">
      <c r="A287" s="1">
        <v>7445001</v>
      </c>
      <c r="B287" s="1">
        <v>10.44</v>
      </c>
      <c r="C287" s="1">
        <v>429</v>
      </c>
      <c r="D287" s="1">
        <v>479</v>
      </c>
      <c r="E287" s="1" t="s">
        <v>43</v>
      </c>
      <c r="F287" s="1">
        <v>0</v>
      </c>
      <c r="G287" s="1" t="s">
        <v>1206</v>
      </c>
      <c r="H287" s="1" t="s">
        <v>821</v>
      </c>
      <c r="I287" s="1" t="str">
        <f>HYPERLINK("https://www.systembolaget.se/produkt/vin/biograf-syrah-white-hawk-vineyard-7445001/","https://www.systembolaget.se/produkt/vin/biograf-syrah-white-hawk-vineyard-7445001/")</f>
        <v>https://www.systembolaget.se/produkt/vin/biograf-syrah-white-hawk-vineyard-7445001/</v>
      </c>
      <c r="J287" s="1">
        <v>14.03</v>
      </c>
      <c r="K287" s="1">
        <v>10.44</v>
      </c>
      <c r="L287" s="2">
        <v>45700</v>
      </c>
      <c r="M287" s="1" t="s">
        <v>1207</v>
      </c>
      <c r="N287" s="1">
        <v>0.26</v>
      </c>
      <c r="O287" s="1">
        <v>750</v>
      </c>
      <c r="P287" s="1">
        <v>15</v>
      </c>
      <c r="Q287" s="1" t="s">
        <v>38</v>
      </c>
      <c r="R287" s="1" t="s">
        <v>52</v>
      </c>
      <c r="S287" s="1"/>
      <c r="T287" s="1"/>
      <c r="U287" s="1" t="s">
        <v>73</v>
      </c>
      <c r="V287" s="1"/>
      <c r="W287" s="1"/>
      <c r="X287" s="1" t="s">
        <v>823</v>
      </c>
      <c r="Y287" s="1" t="s">
        <v>407</v>
      </c>
      <c r="Z287" s="1" t="s">
        <v>43</v>
      </c>
      <c r="AA287" s="1">
        <v>2023</v>
      </c>
      <c r="AB287" s="1" t="s">
        <v>44</v>
      </c>
      <c r="AC287" s="1" t="s">
        <v>45</v>
      </c>
      <c r="AD287" s="1" t="s">
        <v>43</v>
      </c>
      <c r="AE287" s="1" t="s">
        <v>43</v>
      </c>
      <c r="AF287" s="1"/>
      <c r="AG287" s="1" t="s">
        <v>43</v>
      </c>
      <c r="AH287" s="2">
        <v>45707</v>
      </c>
    </row>
    <row r="288" spans="1:34" x14ac:dyDescent="0.3">
      <c r="A288" s="1">
        <v>7470901</v>
      </c>
      <c r="B288" s="1">
        <v>10.44</v>
      </c>
      <c r="C288" s="1">
        <v>429</v>
      </c>
      <c r="D288" s="1">
        <v>479</v>
      </c>
      <c r="E288" s="1" t="s">
        <v>43</v>
      </c>
      <c r="F288" s="1">
        <v>0</v>
      </c>
      <c r="G288" s="1" t="s">
        <v>1208</v>
      </c>
      <c r="H288" s="1" t="s">
        <v>1209</v>
      </c>
      <c r="I288" s="1" t="str">
        <f>HYPERLINK("https://www.systembolaget.se/produkt/vin/amarone-della-valpollicella-7470901/","https://www.systembolaget.se/produkt/vin/amarone-della-valpollicella-7470901/")</f>
        <v>https://www.systembolaget.se/produkt/vin/amarone-della-valpollicella-7470901/</v>
      </c>
      <c r="J288" s="1">
        <v>10.44</v>
      </c>
      <c r="K288" s="1">
        <v>10.44</v>
      </c>
      <c r="L288" s="2">
        <v>45537</v>
      </c>
      <c r="M288" s="1" t="s">
        <v>1210</v>
      </c>
      <c r="N288" s="1">
        <v>0.26</v>
      </c>
      <c r="O288" s="1">
        <v>750</v>
      </c>
      <c r="P288" s="1">
        <v>15</v>
      </c>
      <c r="Q288" s="1" t="s">
        <v>38</v>
      </c>
      <c r="R288" s="1" t="s">
        <v>52</v>
      </c>
      <c r="S288" s="1"/>
      <c r="T288" s="1"/>
      <c r="U288" s="1" t="s">
        <v>53</v>
      </c>
      <c r="V288" s="1" t="s">
        <v>202</v>
      </c>
      <c r="W288" s="1" t="s">
        <v>265</v>
      </c>
      <c r="X288" s="1" t="s">
        <v>1211</v>
      </c>
      <c r="Y288" s="1" t="s">
        <v>64</v>
      </c>
      <c r="Z288" s="1" t="s">
        <v>43</v>
      </c>
      <c r="AA288" s="1">
        <v>2017</v>
      </c>
      <c r="AB288" s="1" t="s">
        <v>44</v>
      </c>
      <c r="AC288" s="1" t="s">
        <v>45</v>
      </c>
      <c r="AD288" s="1" t="s">
        <v>43</v>
      </c>
      <c r="AE288" s="1" t="s">
        <v>43</v>
      </c>
      <c r="AF288" s="1"/>
      <c r="AG288" s="1" t="s">
        <v>43</v>
      </c>
      <c r="AH288" s="2">
        <v>45544</v>
      </c>
    </row>
    <row r="289" spans="1:34" x14ac:dyDescent="0.3">
      <c r="A289" s="1">
        <v>7510701</v>
      </c>
      <c r="B289" s="1">
        <v>10.32</v>
      </c>
      <c r="C289" s="1">
        <v>869</v>
      </c>
      <c r="D289" s="1">
        <v>969</v>
      </c>
      <c r="E289" s="1" t="s">
        <v>43</v>
      </c>
      <c r="F289" s="1">
        <v>0</v>
      </c>
      <c r="G289" s="1" t="s">
        <v>1212</v>
      </c>
      <c r="H289" s="1" t="s">
        <v>967</v>
      </c>
      <c r="I289" s="1" t="str">
        <f>HYPERLINK("https://www.systembolaget.se/produkt/vin/barolo-margheria-7510701/","https://www.systembolaget.se/produkt/vin/barolo-margheria-7510701/")</f>
        <v>https://www.systembolaget.se/produkt/vin/barolo-margheria-7510701/</v>
      </c>
      <c r="J289" s="1">
        <v>8.43</v>
      </c>
      <c r="K289" s="1">
        <v>10.32</v>
      </c>
      <c r="L289" s="2">
        <v>45532</v>
      </c>
      <c r="M289" s="1" t="s">
        <v>1213</v>
      </c>
      <c r="N289" s="1">
        <v>0.13</v>
      </c>
      <c r="O289" s="1">
        <v>750</v>
      </c>
      <c r="P289" s="1">
        <v>14.5</v>
      </c>
      <c r="Q289" s="1" t="s">
        <v>38</v>
      </c>
      <c r="R289" s="1" t="s">
        <v>52</v>
      </c>
      <c r="S289" s="1"/>
      <c r="T289" s="1"/>
      <c r="U289" s="1" t="s">
        <v>53</v>
      </c>
      <c r="V289" s="1" t="s">
        <v>95</v>
      </c>
      <c r="W289" s="1" t="s">
        <v>969</v>
      </c>
      <c r="X289" s="1" t="s">
        <v>967</v>
      </c>
      <c r="Y289" s="1" t="s">
        <v>678</v>
      </c>
      <c r="Z289" s="1" t="s">
        <v>43</v>
      </c>
      <c r="AA289" s="1">
        <v>2020</v>
      </c>
      <c r="AB289" s="1" t="s">
        <v>44</v>
      </c>
      <c r="AC289" s="1" t="s">
        <v>45</v>
      </c>
      <c r="AD289" s="1" t="s">
        <v>43</v>
      </c>
      <c r="AE289" s="1" t="s">
        <v>43</v>
      </c>
      <c r="AF289" s="1"/>
      <c r="AG289" s="1" t="s">
        <v>43</v>
      </c>
      <c r="AH289" s="2">
        <v>45539</v>
      </c>
    </row>
    <row r="290" spans="1:34" x14ac:dyDescent="0.3">
      <c r="A290" s="1">
        <v>7525501</v>
      </c>
      <c r="B290" s="1">
        <v>10.32</v>
      </c>
      <c r="C290" s="1">
        <v>869</v>
      </c>
      <c r="D290" s="1">
        <v>969</v>
      </c>
      <c r="E290" s="1" t="s">
        <v>43</v>
      </c>
      <c r="F290" s="1">
        <v>0</v>
      </c>
      <c r="G290" s="1" t="s">
        <v>1214</v>
      </c>
      <c r="H290" s="1" t="s">
        <v>967</v>
      </c>
      <c r="I290" s="1" t="str">
        <f>HYPERLINK("https://www.systembolaget.se/produkt/vin/barolo-bricco-fiasco-7525501/","https://www.systembolaget.se/produkt/vin/barolo-bricco-fiasco-7525501/")</f>
        <v>https://www.systembolaget.se/produkt/vin/barolo-bricco-fiasco-7525501/</v>
      </c>
      <c r="J290" s="1">
        <v>8.43</v>
      </c>
      <c r="K290" s="1">
        <v>10.32</v>
      </c>
      <c r="L290" s="2">
        <v>45532</v>
      </c>
      <c r="M290" s="1" t="s">
        <v>1213</v>
      </c>
      <c r="N290" s="1">
        <v>0.13</v>
      </c>
      <c r="O290" s="1">
        <v>750</v>
      </c>
      <c r="P290" s="1">
        <v>14.5</v>
      </c>
      <c r="Q290" s="1" t="s">
        <v>38</v>
      </c>
      <c r="R290" s="1" t="s">
        <v>52</v>
      </c>
      <c r="S290" s="1"/>
      <c r="T290" s="1"/>
      <c r="U290" s="1" t="s">
        <v>53</v>
      </c>
      <c r="V290" s="1" t="s">
        <v>95</v>
      </c>
      <c r="W290" s="1" t="s">
        <v>969</v>
      </c>
      <c r="X290" s="1" t="s">
        <v>967</v>
      </c>
      <c r="Y290" s="1" t="s">
        <v>678</v>
      </c>
      <c r="Z290" s="1" t="s">
        <v>43</v>
      </c>
      <c r="AA290" s="1">
        <v>2020</v>
      </c>
      <c r="AB290" s="1" t="s">
        <v>44</v>
      </c>
      <c r="AC290" s="1" t="s">
        <v>45</v>
      </c>
      <c r="AD290" s="1" t="s">
        <v>43</v>
      </c>
      <c r="AE290" s="1" t="s">
        <v>43</v>
      </c>
      <c r="AF290" s="1"/>
      <c r="AG290" s="1" t="s">
        <v>43</v>
      </c>
      <c r="AH290" s="2">
        <v>45539</v>
      </c>
    </row>
    <row r="291" spans="1:34" x14ac:dyDescent="0.3">
      <c r="A291" s="1">
        <v>7702201</v>
      </c>
      <c r="B291" s="1">
        <v>10.32</v>
      </c>
      <c r="C291" s="1">
        <v>869</v>
      </c>
      <c r="D291" s="1">
        <v>969</v>
      </c>
      <c r="E291" s="1" t="s">
        <v>43</v>
      </c>
      <c r="F291" s="1">
        <v>0</v>
      </c>
      <c r="G291" s="1" t="s">
        <v>1215</v>
      </c>
      <c r="H291" s="1" t="s">
        <v>967</v>
      </c>
      <c r="I291" s="1" t="str">
        <f>HYPERLINK("https://www.systembolaget.se/produkt/vin/barolo-san-rocco-7702201/","https://www.systembolaget.se/produkt/vin/barolo-san-rocco-7702201/")</f>
        <v>https://www.systembolaget.se/produkt/vin/barolo-san-rocco-7702201/</v>
      </c>
      <c r="J291" s="1">
        <v>10.32</v>
      </c>
      <c r="K291" s="1">
        <v>10.32</v>
      </c>
      <c r="L291" s="2">
        <v>45957</v>
      </c>
      <c r="M291" s="1" t="s">
        <v>1216</v>
      </c>
      <c r="N291" s="1">
        <v>0.13</v>
      </c>
      <c r="O291" s="1">
        <v>750</v>
      </c>
      <c r="P291" s="1">
        <v>14.5</v>
      </c>
      <c r="Q291" s="1" t="s">
        <v>38</v>
      </c>
      <c r="R291" s="1" t="s">
        <v>52</v>
      </c>
      <c r="S291" s="1"/>
      <c r="T291" s="1"/>
      <c r="U291" s="1" t="s">
        <v>53</v>
      </c>
      <c r="V291" s="1" t="s">
        <v>95</v>
      </c>
      <c r="W291" s="1" t="s">
        <v>969</v>
      </c>
      <c r="X291" s="1" t="s">
        <v>967</v>
      </c>
      <c r="Y291" s="1" t="s">
        <v>678</v>
      </c>
      <c r="Z291" s="1" t="s">
        <v>43</v>
      </c>
      <c r="AA291" s="1">
        <v>2021</v>
      </c>
      <c r="AB291" s="1" t="s">
        <v>44</v>
      </c>
      <c r="AC291" s="1" t="s">
        <v>45</v>
      </c>
      <c r="AD291" s="1" t="s">
        <v>43</v>
      </c>
      <c r="AE291" s="1" t="s">
        <v>43</v>
      </c>
      <c r="AF291" s="1"/>
      <c r="AG291" s="1" t="s">
        <v>43</v>
      </c>
      <c r="AH291" s="2">
        <v>45964</v>
      </c>
    </row>
    <row r="292" spans="1:34" x14ac:dyDescent="0.3">
      <c r="A292" s="1">
        <v>7175901</v>
      </c>
      <c r="B292" s="1">
        <v>10.32</v>
      </c>
      <c r="C292" s="1">
        <v>869</v>
      </c>
      <c r="D292" s="1">
        <v>969</v>
      </c>
      <c r="E292" s="1" t="s">
        <v>43</v>
      </c>
      <c r="F292" s="1">
        <v>0</v>
      </c>
      <c r="G292" s="1" t="s">
        <v>1215</v>
      </c>
      <c r="H292" s="1" t="s">
        <v>967</v>
      </c>
      <c r="I292" s="1" t="str">
        <f>HYPERLINK("https://www.systembolaget.se/produkt/vin/barolo-san-rocco-7175901/","https://www.systembolaget.se/produkt/vin/barolo-san-rocco-7175901/")</f>
        <v>https://www.systembolaget.se/produkt/vin/barolo-san-rocco-7175901/</v>
      </c>
      <c r="J292" s="1">
        <v>8.43</v>
      </c>
      <c r="K292" s="1">
        <v>10.32</v>
      </c>
      <c r="L292" s="2">
        <v>45532</v>
      </c>
      <c r="M292" s="1" t="s">
        <v>1213</v>
      </c>
      <c r="N292" s="1">
        <v>0.13</v>
      </c>
      <c r="O292" s="1">
        <v>750</v>
      </c>
      <c r="P292" s="1">
        <v>14.5</v>
      </c>
      <c r="Q292" s="1" t="s">
        <v>38</v>
      </c>
      <c r="R292" s="1" t="s">
        <v>52</v>
      </c>
      <c r="S292" s="1"/>
      <c r="T292" s="1"/>
      <c r="U292" s="1" t="s">
        <v>53</v>
      </c>
      <c r="V292" s="1" t="s">
        <v>95</v>
      </c>
      <c r="W292" s="1" t="s">
        <v>969</v>
      </c>
      <c r="X292" s="1" t="s">
        <v>967</v>
      </c>
      <c r="Y292" s="1" t="s">
        <v>678</v>
      </c>
      <c r="Z292" s="1" t="s">
        <v>43</v>
      </c>
      <c r="AA292" s="1">
        <v>2020</v>
      </c>
      <c r="AB292" s="1" t="s">
        <v>44</v>
      </c>
      <c r="AC292" s="1" t="s">
        <v>45</v>
      </c>
      <c r="AD292" s="1" t="s">
        <v>43</v>
      </c>
      <c r="AE292" s="1" t="s">
        <v>43</v>
      </c>
      <c r="AF292" s="1"/>
      <c r="AG292" s="1" t="s">
        <v>43</v>
      </c>
      <c r="AH292" s="2">
        <v>45539</v>
      </c>
    </row>
    <row r="293" spans="1:34" x14ac:dyDescent="0.3">
      <c r="A293" s="1">
        <v>7151801</v>
      </c>
      <c r="B293" s="1">
        <v>10.32</v>
      </c>
      <c r="C293" s="1">
        <v>869</v>
      </c>
      <c r="D293" s="1">
        <v>969</v>
      </c>
      <c r="E293" s="1" t="s">
        <v>43</v>
      </c>
      <c r="F293" s="1">
        <v>0</v>
      </c>
      <c r="G293" s="1" t="s">
        <v>1212</v>
      </c>
      <c r="H293" s="1" t="s">
        <v>967</v>
      </c>
      <c r="I293" s="1" t="str">
        <f>HYPERLINK("https://www.systembolaget.se/produkt/vin/barolo-margheria-7151801/","https://www.systembolaget.se/produkt/vin/barolo-margheria-7151801/")</f>
        <v>https://www.systembolaget.se/produkt/vin/barolo-margheria-7151801/</v>
      </c>
      <c r="J293" s="1">
        <v>10.32</v>
      </c>
      <c r="K293" s="1">
        <v>10.32</v>
      </c>
      <c r="L293" s="2">
        <v>45957</v>
      </c>
      <c r="M293" s="1" t="s">
        <v>1216</v>
      </c>
      <c r="N293" s="1">
        <v>0.13</v>
      </c>
      <c r="O293" s="1">
        <v>750</v>
      </c>
      <c r="P293" s="1">
        <v>14.5</v>
      </c>
      <c r="Q293" s="1" t="s">
        <v>38</v>
      </c>
      <c r="R293" s="1" t="s">
        <v>52</v>
      </c>
      <c r="S293" s="1"/>
      <c r="T293" s="1"/>
      <c r="U293" s="1" t="s">
        <v>53</v>
      </c>
      <c r="V293" s="1" t="s">
        <v>95</v>
      </c>
      <c r="W293" s="1" t="s">
        <v>969</v>
      </c>
      <c r="X293" s="1" t="s">
        <v>967</v>
      </c>
      <c r="Y293" s="1" t="s">
        <v>678</v>
      </c>
      <c r="Z293" s="1" t="s">
        <v>43</v>
      </c>
      <c r="AA293" s="1">
        <v>2021</v>
      </c>
      <c r="AB293" s="1" t="s">
        <v>44</v>
      </c>
      <c r="AC293" s="1" t="s">
        <v>45</v>
      </c>
      <c r="AD293" s="1" t="s">
        <v>43</v>
      </c>
      <c r="AE293" s="1" t="s">
        <v>43</v>
      </c>
      <c r="AF293" s="1"/>
      <c r="AG293" s="1" t="s">
        <v>43</v>
      </c>
      <c r="AH293" s="2">
        <v>45964</v>
      </c>
    </row>
    <row r="294" spans="1:34" x14ac:dyDescent="0.3">
      <c r="A294" s="1">
        <v>7066001</v>
      </c>
      <c r="B294" s="1">
        <v>10.32</v>
      </c>
      <c r="C294" s="1">
        <v>869</v>
      </c>
      <c r="D294" s="1">
        <v>969</v>
      </c>
      <c r="E294" s="1" t="s">
        <v>43</v>
      </c>
      <c r="F294" s="1">
        <v>0</v>
      </c>
      <c r="G294" s="1" t="s">
        <v>1214</v>
      </c>
      <c r="H294" s="1" t="s">
        <v>967</v>
      </c>
      <c r="I294" s="1" t="str">
        <f>HYPERLINK("https://www.systembolaget.se/produkt/vin/barolo-bricco-fiasco-7066001/","https://www.systembolaget.se/produkt/vin/barolo-bricco-fiasco-7066001/")</f>
        <v>https://www.systembolaget.se/produkt/vin/barolo-bricco-fiasco-7066001/</v>
      </c>
      <c r="J294" s="1">
        <v>10.32</v>
      </c>
      <c r="K294" s="1">
        <v>10.32</v>
      </c>
      <c r="L294" s="2">
        <v>45957</v>
      </c>
      <c r="M294" s="1" t="s">
        <v>1216</v>
      </c>
      <c r="N294" s="1">
        <v>0.13</v>
      </c>
      <c r="O294" s="1">
        <v>750</v>
      </c>
      <c r="P294" s="1">
        <v>14.5</v>
      </c>
      <c r="Q294" s="1" t="s">
        <v>38</v>
      </c>
      <c r="R294" s="1" t="s">
        <v>52</v>
      </c>
      <c r="S294" s="1"/>
      <c r="T294" s="1"/>
      <c r="U294" s="1" t="s">
        <v>53</v>
      </c>
      <c r="V294" s="1" t="s">
        <v>95</v>
      </c>
      <c r="W294" s="1" t="s">
        <v>969</v>
      </c>
      <c r="X294" s="1" t="s">
        <v>967</v>
      </c>
      <c r="Y294" s="1" t="s">
        <v>678</v>
      </c>
      <c r="Z294" s="1" t="s">
        <v>43</v>
      </c>
      <c r="AA294" s="1">
        <v>2021</v>
      </c>
      <c r="AB294" s="1" t="s">
        <v>44</v>
      </c>
      <c r="AC294" s="1" t="s">
        <v>45</v>
      </c>
      <c r="AD294" s="1" t="s">
        <v>43</v>
      </c>
      <c r="AE294" s="1" t="s">
        <v>43</v>
      </c>
      <c r="AF294" s="1"/>
      <c r="AG294" s="1" t="s">
        <v>43</v>
      </c>
      <c r="AH294" s="2">
        <v>45964</v>
      </c>
    </row>
    <row r="295" spans="1:34" x14ac:dyDescent="0.3">
      <c r="A295" s="1">
        <v>7532109</v>
      </c>
      <c r="B295" s="1">
        <v>10.199999999999999</v>
      </c>
      <c r="C295" s="1">
        <v>660</v>
      </c>
      <c r="D295" s="1">
        <v>735</v>
      </c>
      <c r="E295" s="1" t="s">
        <v>459</v>
      </c>
      <c r="F295" s="1">
        <v>0</v>
      </c>
      <c r="G295" s="1" t="s">
        <v>1217</v>
      </c>
      <c r="H295" s="1" t="s">
        <v>1218</v>
      </c>
      <c r="I295" s="1" t="str">
        <f>HYPERLINK("https://www.systembolaget.se/produkt/vin/maison-lombard-roussillon-trio-7532109/","https://www.systembolaget.se/produkt/vin/maison-lombard-roussillon-trio-7532109/")</f>
        <v>https://www.systembolaget.se/produkt/vin/maison-lombard-roussillon-trio-7532109/</v>
      </c>
      <c r="J295" s="1"/>
      <c r="K295" s="1">
        <v>10.199999999999999</v>
      </c>
      <c r="L295" s="2">
        <v>46090</v>
      </c>
      <c r="M295" s="1" t="s">
        <v>1219</v>
      </c>
      <c r="N295" s="1">
        <v>0.41</v>
      </c>
      <c r="O295" s="1">
        <v>2250</v>
      </c>
      <c r="P295" s="1">
        <v>12</v>
      </c>
      <c r="Q295" s="1" t="s">
        <v>38</v>
      </c>
      <c r="R295" s="1" t="s">
        <v>670</v>
      </c>
      <c r="S295" s="1"/>
      <c r="T295" s="1"/>
      <c r="U295" s="1" t="s">
        <v>101</v>
      </c>
      <c r="V295" s="1"/>
      <c r="W295" s="1"/>
      <c r="X295" s="1" t="s">
        <v>1220</v>
      </c>
      <c r="Y295" s="1" t="s">
        <v>1221</v>
      </c>
      <c r="Z295" s="1" t="s">
        <v>43</v>
      </c>
      <c r="AA295" s="1"/>
      <c r="AB295" s="1" t="s">
        <v>1222</v>
      </c>
      <c r="AC295" s="1" t="s">
        <v>45</v>
      </c>
      <c r="AD295" s="1" t="s">
        <v>43</v>
      </c>
      <c r="AE295" s="1" t="s">
        <v>43</v>
      </c>
      <c r="AF295" s="1"/>
      <c r="AG295" s="1" t="s">
        <v>43</v>
      </c>
      <c r="AH295" s="2">
        <v>46097</v>
      </c>
    </row>
    <row r="296" spans="1:34" x14ac:dyDescent="0.3">
      <c r="A296" s="1">
        <v>7211301</v>
      </c>
      <c r="B296" s="1">
        <v>10.1</v>
      </c>
      <c r="C296" s="1">
        <v>89</v>
      </c>
      <c r="D296" s="1">
        <v>99</v>
      </c>
      <c r="E296" s="1" t="s">
        <v>43</v>
      </c>
      <c r="F296" s="1">
        <v>0</v>
      </c>
      <c r="G296" s="1" t="s">
        <v>1223</v>
      </c>
      <c r="H296" s="1" t="s">
        <v>1224</v>
      </c>
      <c r="I296" s="1" t="str">
        <f>HYPERLINK("https://www.systembolaget.se/produkt/vin/nashville-stories-7211301/","https://www.systembolaget.se/produkt/vin/nashville-stories-7211301/")</f>
        <v>https://www.systembolaget.se/produkt/vin/nashville-stories-7211301/</v>
      </c>
      <c r="J296" s="1">
        <v>10.1</v>
      </c>
      <c r="K296" s="1">
        <v>10.1</v>
      </c>
      <c r="L296" s="2">
        <v>45389</v>
      </c>
      <c r="M296" s="1" t="s">
        <v>1225</v>
      </c>
      <c r="N296" s="1">
        <v>1.22</v>
      </c>
      <c r="O296" s="1">
        <v>750</v>
      </c>
      <c r="P296" s="1">
        <v>14.5</v>
      </c>
      <c r="Q296" s="1" t="s">
        <v>38</v>
      </c>
      <c r="R296" s="1" t="s">
        <v>52</v>
      </c>
      <c r="S296" s="1" t="s">
        <v>84</v>
      </c>
      <c r="T296" s="1"/>
      <c r="U296" s="1" t="s">
        <v>73</v>
      </c>
      <c r="V296" s="1" t="s">
        <v>74</v>
      </c>
      <c r="W296" s="1"/>
      <c r="X296" s="1" t="s">
        <v>746</v>
      </c>
      <c r="Y296" s="1" t="s">
        <v>285</v>
      </c>
      <c r="Z296" s="1" t="s">
        <v>43</v>
      </c>
      <c r="AA296" s="1"/>
      <c r="AB296" s="1" t="s">
        <v>77</v>
      </c>
      <c r="AC296" s="1" t="s">
        <v>45</v>
      </c>
      <c r="AD296" s="1" t="s">
        <v>43</v>
      </c>
      <c r="AE296" s="1" t="s">
        <v>43</v>
      </c>
      <c r="AF296" s="1">
        <v>7</v>
      </c>
      <c r="AG296" s="1" t="s">
        <v>43</v>
      </c>
      <c r="AH296" s="2">
        <v>43556</v>
      </c>
    </row>
    <row r="297" spans="1:34" x14ac:dyDescent="0.3">
      <c r="A297" s="1">
        <v>7219101</v>
      </c>
      <c r="B297" s="1">
        <v>10.1</v>
      </c>
      <c r="C297" s="1">
        <v>89</v>
      </c>
      <c r="D297" s="1">
        <v>99</v>
      </c>
      <c r="E297" s="1" t="s">
        <v>43</v>
      </c>
      <c r="F297" s="1">
        <v>0</v>
      </c>
      <c r="G297" s="1" t="s">
        <v>1226</v>
      </c>
      <c r="H297" s="1" t="s">
        <v>1227</v>
      </c>
      <c r="I297" s="1" t="str">
        <f>HYPERLINK("https://www.systembolaget.se/produkt/vin/barbadillo-7219101/","https://www.systembolaget.se/produkt/vin/barbadillo-7219101/")</f>
        <v>https://www.systembolaget.se/produkt/vin/barbadillo-7219101/</v>
      </c>
      <c r="J297" s="1">
        <v>44.03</v>
      </c>
      <c r="K297" s="1">
        <v>10.1</v>
      </c>
      <c r="L297" s="2">
        <v>45805</v>
      </c>
      <c r="M297" s="1" t="s">
        <v>1228</v>
      </c>
      <c r="N297" s="1">
        <v>0.97</v>
      </c>
      <c r="O297" s="1">
        <v>750</v>
      </c>
      <c r="P297" s="1">
        <v>11.5</v>
      </c>
      <c r="Q297" s="1" t="s">
        <v>38</v>
      </c>
      <c r="R297" s="1" t="s">
        <v>39</v>
      </c>
      <c r="S297" s="1"/>
      <c r="T297" s="1"/>
      <c r="U297" s="1" t="s">
        <v>164</v>
      </c>
      <c r="V297" s="1"/>
      <c r="W297" s="1"/>
      <c r="X297" s="1" t="s">
        <v>1226</v>
      </c>
      <c r="Y297" s="1" t="s">
        <v>299</v>
      </c>
      <c r="Z297" s="1" t="s">
        <v>43</v>
      </c>
      <c r="AA297" s="1">
        <v>2022</v>
      </c>
      <c r="AB297" s="1" t="s">
        <v>77</v>
      </c>
      <c r="AC297" s="1" t="s">
        <v>45</v>
      </c>
      <c r="AD297" s="1" t="s">
        <v>43</v>
      </c>
      <c r="AE297" s="1" t="s">
        <v>43</v>
      </c>
      <c r="AF297" s="1"/>
      <c r="AG297" s="1" t="s">
        <v>43</v>
      </c>
      <c r="AH297" s="2">
        <v>45812</v>
      </c>
    </row>
    <row r="298" spans="1:34" x14ac:dyDescent="0.3">
      <c r="A298" s="1">
        <v>7291801</v>
      </c>
      <c r="B298" s="1">
        <v>10.1</v>
      </c>
      <c r="C298" s="1">
        <v>89</v>
      </c>
      <c r="D298" s="1">
        <v>99</v>
      </c>
      <c r="E298" s="1" t="s">
        <v>43</v>
      </c>
      <c r="F298" s="1">
        <v>0</v>
      </c>
      <c r="G298" s="1" t="s">
        <v>1229</v>
      </c>
      <c r="H298" s="1" t="s">
        <v>1230</v>
      </c>
      <c r="I298" s="1" t="str">
        <f>HYPERLINK("https://www.systembolaget.se/produkt/vin/disco-juice-7291801/","https://www.systembolaget.se/produkt/vin/disco-juice-7291801/")</f>
        <v>https://www.systembolaget.se/produkt/vin/disco-juice-7291801/</v>
      </c>
      <c r="J298" s="1">
        <v>10.1</v>
      </c>
      <c r="K298" s="1">
        <v>10.1</v>
      </c>
      <c r="L298" s="2">
        <v>45880</v>
      </c>
      <c r="M298" s="1" t="s">
        <v>1231</v>
      </c>
      <c r="N298" s="1">
        <v>0.63</v>
      </c>
      <c r="O298" s="1">
        <v>750</v>
      </c>
      <c r="P298" s="1">
        <v>7.5</v>
      </c>
      <c r="Q298" s="1" t="s">
        <v>38</v>
      </c>
      <c r="R298" s="1" t="s">
        <v>1232</v>
      </c>
      <c r="S298" s="1" t="s">
        <v>1233</v>
      </c>
      <c r="T298" s="1"/>
      <c r="U298" s="1" t="s">
        <v>53</v>
      </c>
      <c r="V298" s="1"/>
      <c r="W298" s="1"/>
      <c r="X298" s="1" t="s">
        <v>752</v>
      </c>
      <c r="Y298" s="1" t="s">
        <v>754</v>
      </c>
      <c r="Z298" s="1" t="s">
        <v>43</v>
      </c>
      <c r="AA298" s="1"/>
      <c r="AB298" s="1" t="s">
        <v>77</v>
      </c>
      <c r="AC298" s="1" t="s">
        <v>45</v>
      </c>
      <c r="AD298" s="1" t="s">
        <v>43</v>
      </c>
      <c r="AE298" s="1" t="s">
        <v>43</v>
      </c>
      <c r="AF298" s="1">
        <v>63</v>
      </c>
      <c r="AG298" s="1" t="s">
        <v>43</v>
      </c>
      <c r="AH298" s="2">
        <v>45887</v>
      </c>
    </row>
    <row r="299" spans="1:34" x14ac:dyDescent="0.3">
      <c r="A299" s="1">
        <v>7309141</v>
      </c>
      <c r="B299" s="1">
        <v>10.1</v>
      </c>
      <c r="C299" s="1">
        <v>89</v>
      </c>
      <c r="D299" s="1">
        <v>99</v>
      </c>
      <c r="E299" s="1" t="s">
        <v>459</v>
      </c>
      <c r="F299" s="1">
        <v>0</v>
      </c>
      <c r="G299" s="1" t="s">
        <v>1234</v>
      </c>
      <c r="H299" s="1" t="s">
        <v>1235</v>
      </c>
      <c r="I299" s="1" t="str">
        <f>HYPERLINK("https://www.systembolaget.se/produkt/vin/il-conte-7309141/","https://www.systembolaget.se/produkt/vin/il-conte-7309141/")</f>
        <v>https://www.systembolaget.se/produkt/vin/il-conte-7309141/</v>
      </c>
      <c r="J299" s="1"/>
      <c r="K299" s="1">
        <v>10.1</v>
      </c>
      <c r="L299" s="2">
        <v>46075</v>
      </c>
      <c r="M299" s="1" t="s">
        <v>1231</v>
      </c>
      <c r="N299" s="1">
        <v>1.46</v>
      </c>
      <c r="O299" s="1">
        <v>1000</v>
      </c>
      <c r="P299" s="1">
        <v>13</v>
      </c>
      <c r="Q299" s="1" t="s">
        <v>38</v>
      </c>
      <c r="R299" s="1" t="s">
        <v>52</v>
      </c>
      <c r="S299" s="1" t="s">
        <v>84</v>
      </c>
      <c r="T299" s="1"/>
      <c r="U299" s="1" t="s">
        <v>53</v>
      </c>
      <c r="V299" s="1"/>
      <c r="W299" s="1"/>
      <c r="X299" s="1" t="s">
        <v>180</v>
      </c>
      <c r="Y299" s="1" t="s">
        <v>180</v>
      </c>
      <c r="Z299" s="1" t="s">
        <v>46</v>
      </c>
      <c r="AA299" s="1"/>
      <c r="AB299" s="1" t="s">
        <v>181</v>
      </c>
      <c r="AC299" s="1" t="s">
        <v>45</v>
      </c>
      <c r="AD299" s="1" t="s">
        <v>43</v>
      </c>
      <c r="AE299" s="1" t="s">
        <v>43</v>
      </c>
      <c r="AF299" s="1">
        <v>12</v>
      </c>
      <c r="AG299" s="1" t="s">
        <v>43</v>
      </c>
      <c r="AH299" s="2">
        <v>46082</v>
      </c>
    </row>
    <row r="300" spans="1:34" x14ac:dyDescent="0.3">
      <c r="A300" s="1">
        <v>5578001</v>
      </c>
      <c r="B300" s="1">
        <v>10.1</v>
      </c>
      <c r="C300" s="1">
        <v>89</v>
      </c>
      <c r="D300" s="1">
        <v>99</v>
      </c>
      <c r="E300" s="1" t="s">
        <v>43</v>
      </c>
      <c r="F300" s="1">
        <v>0</v>
      </c>
      <c r="G300" s="1" t="s">
        <v>1236</v>
      </c>
      <c r="H300" s="1" t="s">
        <v>1237</v>
      </c>
      <c r="I300" s="1" t="str">
        <f>HYPERLINK("https://www.systembolaget.se/produkt/vin/ascot-5578001/","https://www.systembolaget.se/produkt/vin/ascot-5578001/")</f>
        <v>https://www.systembolaget.se/produkt/vin/ascot-5578001/</v>
      </c>
      <c r="J300" s="1">
        <v>10.1</v>
      </c>
      <c r="K300" s="1">
        <v>10.1</v>
      </c>
      <c r="L300" s="2">
        <v>45401</v>
      </c>
      <c r="M300" s="1" t="s">
        <v>1231</v>
      </c>
      <c r="N300" s="1">
        <v>1.1000000000000001</v>
      </c>
      <c r="O300" s="1">
        <v>750</v>
      </c>
      <c r="P300" s="1">
        <v>13</v>
      </c>
      <c r="Q300" s="1" t="s">
        <v>38</v>
      </c>
      <c r="R300" s="1" t="s">
        <v>39</v>
      </c>
      <c r="S300" s="1" t="s">
        <v>184</v>
      </c>
      <c r="T300" s="1"/>
      <c r="U300" s="1" t="s">
        <v>73</v>
      </c>
      <c r="V300" s="1" t="s">
        <v>74</v>
      </c>
      <c r="W300" s="1"/>
      <c r="X300" s="1" t="s">
        <v>298</v>
      </c>
      <c r="Y300" s="1" t="s">
        <v>299</v>
      </c>
      <c r="Z300" s="1" t="s">
        <v>43</v>
      </c>
      <c r="AA300" s="1">
        <v>2024</v>
      </c>
      <c r="AB300" s="1" t="s">
        <v>77</v>
      </c>
      <c r="AC300" s="1" t="s">
        <v>90</v>
      </c>
      <c r="AD300" s="1" t="s">
        <v>43</v>
      </c>
      <c r="AE300" s="1" t="s">
        <v>43</v>
      </c>
      <c r="AF300" s="1">
        <v>4</v>
      </c>
      <c r="AG300" s="1" t="s">
        <v>43</v>
      </c>
      <c r="AH300" s="2">
        <v>44615</v>
      </c>
    </row>
    <row r="301" spans="1:34" x14ac:dyDescent="0.3">
      <c r="A301" s="1">
        <v>278401</v>
      </c>
      <c r="B301" s="1">
        <v>10.1</v>
      </c>
      <c r="C301" s="1">
        <v>89</v>
      </c>
      <c r="D301" s="1">
        <v>99</v>
      </c>
      <c r="E301" s="1" t="s">
        <v>43</v>
      </c>
      <c r="F301" s="1">
        <v>0</v>
      </c>
      <c r="G301" s="1" t="s">
        <v>1238</v>
      </c>
      <c r="H301" s="1" t="s">
        <v>741</v>
      </c>
      <c r="I301" s="1" t="str">
        <f>HYPERLINK("https://www.systembolaget.se/produkt/vin/raza-torrontes-pinot-grigio-278401/","https://www.systembolaget.se/produkt/vin/raza-torrontes-pinot-grigio-278401/")</f>
        <v>https://www.systembolaget.se/produkt/vin/raza-torrontes-pinot-grigio-278401/</v>
      </c>
      <c r="J301" s="1">
        <v>10.1</v>
      </c>
      <c r="K301" s="1">
        <v>10.1</v>
      </c>
      <c r="L301" s="2">
        <v>45696</v>
      </c>
      <c r="M301" s="1" t="s">
        <v>1231</v>
      </c>
      <c r="N301" s="1">
        <v>0.93</v>
      </c>
      <c r="O301" s="1">
        <v>750</v>
      </c>
      <c r="P301" s="1">
        <v>11</v>
      </c>
      <c r="Q301" s="1" t="s">
        <v>38</v>
      </c>
      <c r="R301" s="1" t="s">
        <v>39</v>
      </c>
      <c r="S301" s="1" t="s">
        <v>1239</v>
      </c>
      <c r="T301" s="1"/>
      <c r="U301" s="1" t="s">
        <v>85</v>
      </c>
      <c r="V301" s="1" t="s">
        <v>86</v>
      </c>
      <c r="W301" s="1" t="s">
        <v>1240</v>
      </c>
      <c r="X301" s="1" t="s">
        <v>1241</v>
      </c>
      <c r="Y301" s="1" t="s">
        <v>188</v>
      </c>
      <c r="Z301" s="1" t="s">
        <v>46</v>
      </c>
      <c r="AA301" s="1">
        <v>2025</v>
      </c>
      <c r="AB301" s="1" t="s">
        <v>77</v>
      </c>
      <c r="AC301" s="1" t="s">
        <v>90</v>
      </c>
      <c r="AD301" s="1" t="s">
        <v>43</v>
      </c>
      <c r="AE301" s="1" t="s">
        <v>43</v>
      </c>
      <c r="AF301" s="1">
        <v>7</v>
      </c>
      <c r="AG301" s="1" t="s">
        <v>46</v>
      </c>
      <c r="AH301" s="2">
        <v>45717</v>
      </c>
    </row>
    <row r="302" spans="1:34" x14ac:dyDescent="0.3">
      <c r="A302" s="1">
        <v>242801</v>
      </c>
      <c r="B302" s="1">
        <v>10.1</v>
      </c>
      <c r="C302" s="1">
        <v>89</v>
      </c>
      <c r="D302" s="1">
        <v>99</v>
      </c>
      <c r="E302" s="1" t="s">
        <v>43</v>
      </c>
      <c r="F302" s="1">
        <v>0</v>
      </c>
      <c r="G302" s="1" t="s">
        <v>1242</v>
      </c>
      <c r="H302" s="1" t="s">
        <v>1243</v>
      </c>
      <c r="I302" s="1" t="str">
        <f>HYPERLINK("https://www.systembolaget.se/produkt/vin/the-big-zin-242801/","https://www.systembolaget.se/produkt/vin/the-big-zin-242801/")</f>
        <v>https://www.systembolaget.se/produkt/vin/the-big-zin-242801/</v>
      </c>
      <c r="J302" s="1">
        <v>10.1</v>
      </c>
      <c r="K302" s="1">
        <v>10.1</v>
      </c>
      <c r="L302" s="2">
        <v>45528</v>
      </c>
      <c r="M302" s="1" t="s">
        <v>1244</v>
      </c>
      <c r="N302" s="1">
        <v>1.1399999999999999</v>
      </c>
      <c r="O302" s="1">
        <v>750</v>
      </c>
      <c r="P302" s="1">
        <v>13.5</v>
      </c>
      <c r="Q302" s="1" t="s">
        <v>38</v>
      </c>
      <c r="R302" s="1" t="s">
        <v>52</v>
      </c>
      <c r="S302" s="1" t="s">
        <v>84</v>
      </c>
      <c r="T302" s="1"/>
      <c r="U302" s="1" t="s">
        <v>53</v>
      </c>
      <c r="V302" s="1" t="s">
        <v>577</v>
      </c>
      <c r="W302" s="1"/>
      <c r="X302" s="1" t="s">
        <v>451</v>
      </c>
      <c r="Y302" s="1" t="s">
        <v>334</v>
      </c>
      <c r="Z302" s="1" t="s">
        <v>46</v>
      </c>
      <c r="AA302" s="1">
        <v>2024</v>
      </c>
      <c r="AB302" s="1" t="s">
        <v>44</v>
      </c>
      <c r="AC302" s="1" t="s">
        <v>90</v>
      </c>
      <c r="AD302" s="1" t="s">
        <v>43</v>
      </c>
      <c r="AE302" s="1" t="s">
        <v>43</v>
      </c>
      <c r="AF302" s="1">
        <v>7</v>
      </c>
      <c r="AG302" s="1" t="s">
        <v>43</v>
      </c>
      <c r="AH302" s="2">
        <v>41519</v>
      </c>
    </row>
    <row r="303" spans="1:34" x14ac:dyDescent="0.3">
      <c r="A303" s="1">
        <v>8445801</v>
      </c>
      <c r="B303" s="1">
        <v>10.09</v>
      </c>
      <c r="C303" s="1">
        <v>1078</v>
      </c>
      <c r="D303" s="1">
        <v>1199</v>
      </c>
      <c r="E303" s="1" t="s">
        <v>43</v>
      </c>
      <c r="F303" s="1">
        <v>0</v>
      </c>
      <c r="G303" s="1" t="s">
        <v>1077</v>
      </c>
      <c r="H303" s="1" t="s">
        <v>1245</v>
      </c>
      <c r="I303" s="1" t="str">
        <f>HYPERLINK("https://www.systembolaget.se/produkt/sprit/brave-new-spirits-ltd-8445801/","https://www.systembolaget.se/produkt/sprit/brave-new-spirits-ltd-8445801/")</f>
        <v>https://www.systembolaget.se/produkt/sprit/brave-new-spirits-ltd-8445801/</v>
      </c>
      <c r="J303" s="1">
        <v>10.02</v>
      </c>
      <c r="K303" s="1">
        <v>10.09</v>
      </c>
      <c r="L303" s="2">
        <v>45621</v>
      </c>
      <c r="M303" s="1" t="s">
        <v>1246</v>
      </c>
      <c r="N303" s="1">
        <v>0.36</v>
      </c>
      <c r="O303" s="1">
        <v>700</v>
      </c>
      <c r="P303" s="1">
        <v>55.9</v>
      </c>
      <c r="Q303" s="1" t="s">
        <v>308</v>
      </c>
      <c r="R303" s="1" t="s">
        <v>309</v>
      </c>
      <c r="S303" s="1" t="s">
        <v>318</v>
      </c>
      <c r="T303" s="1"/>
      <c r="U303" s="1" t="s">
        <v>253</v>
      </c>
      <c r="V303" s="1" t="s">
        <v>254</v>
      </c>
      <c r="W303" s="1" t="s">
        <v>721</v>
      </c>
      <c r="X303" s="1" t="s">
        <v>1077</v>
      </c>
      <c r="Y303" s="1" t="s">
        <v>857</v>
      </c>
      <c r="Z303" s="1" t="s">
        <v>43</v>
      </c>
      <c r="AA303" s="1"/>
      <c r="AB303" s="1" t="s">
        <v>44</v>
      </c>
      <c r="AC303" s="1" t="s">
        <v>45</v>
      </c>
      <c r="AD303" s="1" t="s">
        <v>43</v>
      </c>
      <c r="AE303" s="1" t="s">
        <v>43</v>
      </c>
      <c r="AF303" s="1"/>
      <c r="AG303" s="1" t="s">
        <v>43</v>
      </c>
      <c r="AH303" s="2">
        <v>45628</v>
      </c>
    </row>
    <row r="304" spans="1:34" x14ac:dyDescent="0.3">
      <c r="A304" s="1">
        <v>7655108</v>
      </c>
      <c r="B304" s="1">
        <v>10.050000000000001</v>
      </c>
      <c r="C304" s="1">
        <v>179</v>
      </c>
      <c r="D304" s="1">
        <v>199</v>
      </c>
      <c r="E304" s="1" t="s">
        <v>43</v>
      </c>
      <c r="F304" s="1">
        <v>0</v>
      </c>
      <c r="G304" s="1" t="s">
        <v>1247</v>
      </c>
      <c r="H304" s="1" t="s">
        <v>1248</v>
      </c>
      <c r="I304" s="1" t="str">
        <f>HYPERLINK("https://www.systembolaget.se/produkt/vin/massetti-7655108/","https://www.systembolaget.se/produkt/vin/massetti-7655108/")</f>
        <v>https://www.systembolaget.se/produkt/vin/massetti-7655108/</v>
      </c>
      <c r="J304" s="1"/>
      <c r="K304" s="1">
        <v>10.050000000000001</v>
      </c>
      <c r="L304" s="2">
        <v>46048</v>
      </c>
      <c r="M304" s="1" t="s">
        <v>1249</v>
      </c>
      <c r="N304" s="1">
        <v>2.1800000000000002</v>
      </c>
      <c r="O304" s="1">
        <v>3000</v>
      </c>
      <c r="P304" s="1">
        <v>13</v>
      </c>
      <c r="Q304" s="1" t="s">
        <v>38</v>
      </c>
      <c r="R304" s="1" t="s">
        <v>52</v>
      </c>
      <c r="S304" s="1" t="s">
        <v>386</v>
      </c>
      <c r="T304" s="1"/>
      <c r="U304" s="1" t="s">
        <v>53</v>
      </c>
      <c r="V304" s="1"/>
      <c r="W304" s="1"/>
      <c r="X304" s="1" t="s">
        <v>666</v>
      </c>
      <c r="Y304" s="1" t="s">
        <v>666</v>
      </c>
      <c r="Z304" s="1" t="s">
        <v>43</v>
      </c>
      <c r="AA304" s="1"/>
      <c r="AB304" s="1" t="s">
        <v>654</v>
      </c>
      <c r="AC304" s="1" t="s">
        <v>45</v>
      </c>
      <c r="AD304" s="1" t="s">
        <v>43</v>
      </c>
      <c r="AE304" s="1" t="s">
        <v>43</v>
      </c>
      <c r="AF304" s="1">
        <v>11</v>
      </c>
      <c r="AG304" s="1" t="s">
        <v>43</v>
      </c>
      <c r="AH304" s="2">
        <v>46055</v>
      </c>
    </row>
    <row r="305" spans="1:34" x14ac:dyDescent="0.3">
      <c r="A305" s="1">
        <v>7618002</v>
      </c>
      <c r="B305" s="1">
        <v>10.029999999999999</v>
      </c>
      <c r="C305" s="1">
        <v>359</v>
      </c>
      <c r="D305" s="1">
        <v>399</v>
      </c>
      <c r="E305" s="1" t="s">
        <v>551</v>
      </c>
      <c r="F305" s="1">
        <v>0</v>
      </c>
      <c r="G305" s="1" t="s">
        <v>1250</v>
      </c>
      <c r="H305" s="1"/>
      <c r="I305" s="1" t="str">
        <f>HYPERLINK("https://www.systembolaget.se/produkt/vin/don-px-7618002/","https://www.systembolaget.se/produkt/vin/don-px-7618002/")</f>
        <v>https://www.systembolaget.se/produkt/vin/don-px-7618002/</v>
      </c>
      <c r="J305" s="1">
        <v>9.57</v>
      </c>
      <c r="K305" s="1">
        <v>10.029999999999999</v>
      </c>
      <c r="L305" s="2">
        <v>45390</v>
      </c>
      <c r="M305" s="1" t="s">
        <v>1251</v>
      </c>
      <c r="N305" s="1">
        <v>0.18</v>
      </c>
      <c r="O305" s="1">
        <v>375</v>
      </c>
      <c r="P305" s="1">
        <v>17</v>
      </c>
      <c r="Q305" s="1" t="s">
        <v>38</v>
      </c>
      <c r="R305" s="1" t="s">
        <v>338</v>
      </c>
      <c r="S305" s="1" t="s">
        <v>1252</v>
      </c>
      <c r="T305" s="1" t="s">
        <v>1253</v>
      </c>
      <c r="U305" s="1" t="s">
        <v>164</v>
      </c>
      <c r="V305" s="1" t="s">
        <v>1254</v>
      </c>
      <c r="W305" s="1" t="s">
        <v>1255</v>
      </c>
      <c r="X305" s="1" t="s">
        <v>1256</v>
      </c>
      <c r="Y305" s="1" t="s">
        <v>1257</v>
      </c>
      <c r="Z305" s="1" t="s">
        <v>43</v>
      </c>
      <c r="AA305" s="1">
        <v>2003</v>
      </c>
      <c r="AB305" s="1" t="s">
        <v>44</v>
      </c>
      <c r="AC305" s="1" t="s">
        <v>90</v>
      </c>
      <c r="AD305" s="1" t="s">
        <v>43</v>
      </c>
      <c r="AE305" s="1" t="s">
        <v>43</v>
      </c>
      <c r="AF305" s="1">
        <v>385</v>
      </c>
      <c r="AG305" s="1" t="s">
        <v>43</v>
      </c>
      <c r="AH305" s="2">
        <v>41365</v>
      </c>
    </row>
    <row r="306" spans="1:34" x14ac:dyDescent="0.3">
      <c r="A306" s="1">
        <v>5398801</v>
      </c>
      <c r="B306" s="1">
        <v>10.02</v>
      </c>
      <c r="C306" s="1">
        <v>449</v>
      </c>
      <c r="D306" s="1">
        <v>499</v>
      </c>
      <c r="E306" s="1" t="s">
        <v>43</v>
      </c>
      <c r="F306" s="1">
        <v>0</v>
      </c>
      <c r="G306" s="1" t="s">
        <v>992</v>
      </c>
      <c r="H306" s="1" t="s">
        <v>1258</v>
      </c>
      <c r="I306" s="1" t="str">
        <f>HYPERLINK("https://www.systembolaget.se/produkt/sprit/etoh-5398801/","https://www.systembolaget.se/produkt/sprit/etoh-5398801/")</f>
        <v>https://www.systembolaget.se/produkt/sprit/etoh-5398801/</v>
      </c>
      <c r="J306" s="1">
        <v>10.02</v>
      </c>
      <c r="K306" s="1">
        <v>10.02</v>
      </c>
      <c r="L306" s="2">
        <v>45389</v>
      </c>
      <c r="M306" s="1" t="s">
        <v>1259</v>
      </c>
      <c r="N306" s="1">
        <v>0.7</v>
      </c>
      <c r="O306" s="1">
        <v>700</v>
      </c>
      <c r="P306" s="1">
        <v>45</v>
      </c>
      <c r="Q306" s="1" t="s">
        <v>308</v>
      </c>
      <c r="R306" s="1" t="s">
        <v>309</v>
      </c>
      <c r="S306" s="1" t="s">
        <v>310</v>
      </c>
      <c r="T306" s="1"/>
      <c r="U306" s="1" t="s">
        <v>995</v>
      </c>
      <c r="V306" s="1"/>
      <c r="W306" s="1"/>
      <c r="X306" s="1" t="s">
        <v>996</v>
      </c>
      <c r="Y306" s="1" t="s">
        <v>783</v>
      </c>
      <c r="Z306" s="1" t="s">
        <v>43</v>
      </c>
      <c r="AA306" s="1"/>
      <c r="AB306" s="1" t="s">
        <v>44</v>
      </c>
      <c r="AC306" s="1" t="s">
        <v>45</v>
      </c>
      <c r="AD306" s="1" t="s">
        <v>43</v>
      </c>
      <c r="AE306" s="1" t="s">
        <v>43</v>
      </c>
      <c r="AF306" s="1"/>
      <c r="AG306" s="1" t="s">
        <v>43</v>
      </c>
      <c r="AH306" s="2">
        <v>44986</v>
      </c>
    </row>
    <row r="307" spans="1:34" x14ac:dyDescent="0.3">
      <c r="A307" s="1">
        <v>5096501</v>
      </c>
      <c r="B307" s="1">
        <v>10.02</v>
      </c>
      <c r="C307" s="1">
        <v>449</v>
      </c>
      <c r="D307" s="1">
        <v>499</v>
      </c>
      <c r="E307" s="1" t="s">
        <v>43</v>
      </c>
      <c r="F307" s="1">
        <v>0</v>
      </c>
      <c r="G307" s="1" t="s">
        <v>992</v>
      </c>
      <c r="H307" s="1" t="s">
        <v>1260</v>
      </c>
      <c r="I307" s="1" t="str">
        <f>HYPERLINK("https://www.systembolaget.se/produkt/sprit/etoh-5096501/","https://www.systembolaget.se/produkt/sprit/etoh-5096501/")</f>
        <v>https://www.systembolaget.se/produkt/sprit/etoh-5096501/</v>
      </c>
      <c r="J307" s="1">
        <v>10.02</v>
      </c>
      <c r="K307" s="1">
        <v>10.02</v>
      </c>
      <c r="L307" s="2">
        <v>45389</v>
      </c>
      <c r="M307" s="1" t="s">
        <v>1261</v>
      </c>
      <c r="N307" s="1">
        <v>0.65</v>
      </c>
      <c r="O307" s="1">
        <v>700</v>
      </c>
      <c r="P307" s="1">
        <v>42</v>
      </c>
      <c r="Q307" s="1" t="s">
        <v>308</v>
      </c>
      <c r="R307" s="1" t="s">
        <v>309</v>
      </c>
      <c r="S307" s="1" t="s">
        <v>310</v>
      </c>
      <c r="T307" s="1"/>
      <c r="U307" s="1" t="s">
        <v>995</v>
      </c>
      <c r="V307" s="1"/>
      <c r="W307" s="1"/>
      <c r="X307" s="1" t="s">
        <v>996</v>
      </c>
      <c r="Y307" s="1" t="s">
        <v>783</v>
      </c>
      <c r="Z307" s="1" t="s">
        <v>43</v>
      </c>
      <c r="AA307" s="1"/>
      <c r="AB307" s="1" t="s">
        <v>44</v>
      </c>
      <c r="AC307" s="1" t="s">
        <v>45</v>
      </c>
      <c r="AD307" s="1" t="s">
        <v>43</v>
      </c>
      <c r="AE307" s="1" t="s">
        <v>43</v>
      </c>
      <c r="AF307" s="1"/>
      <c r="AG307" s="1" t="s">
        <v>43</v>
      </c>
      <c r="AH307" s="2">
        <v>44986</v>
      </c>
    </row>
    <row r="308" spans="1:34" x14ac:dyDescent="0.3">
      <c r="A308" s="1">
        <v>8412101</v>
      </c>
      <c r="B308" s="1">
        <v>10.02</v>
      </c>
      <c r="C308" s="1">
        <v>449</v>
      </c>
      <c r="D308" s="1">
        <v>499</v>
      </c>
      <c r="E308" s="1" t="s">
        <v>43</v>
      </c>
      <c r="F308" s="1">
        <v>0</v>
      </c>
      <c r="G308" s="1" t="s">
        <v>1262</v>
      </c>
      <c r="H308" s="1" t="s">
        <v>1263</v>
      </c>
      <c r="I308" s="1" t="str">
        <f>HYPERLINK("https://www.systembolaget.se/produkt/sprit/bacanal-8412101/","https://www.systembolaget.se/produkt/sprit/bacanal-8412101/")</f>
        <v>https://www.systembolaget.se/produkt/sprit/bacanal-8412101/</v>
      </c>
      <c r="J308" s="1"/>
      <c r="K308" s="1">
        <v>10.02</v>
      </c>
      <c r="L308" s="2">
        <v>46083</v>
      </c>
      <c r="M308" s="1" t="s">
        <v>1264</v>
      </c>
      <c r="N308" s="1">
        <v>0.47</v>
      </c>
      <c r="O308" s="1">
        <v>700</v>
      </c>
      <c r="P308" s="1">
        <v>30</v>
      </c>
      <c r="Q308" s="1" t="s">
        <v>308</v>
      </c>
      <c r="R308" s="1" t="s">
        <v>908</v>
      </c>
      <c r="S308" s="1" t="s">
        <v>909</v>
      </c>
      <c r="T308" s="1"/>
      <c r="U308" s="1" t="s">
        <v>1265</v>
      </c>
      <c r="V308" s="1"/>
      <c r="W308" s="1"/>
      <c r="X308" s="1" t="s">
        <v>1266</v>
      </c>
      <c r="Y308" s="1" t="s">
        <v>1267</v>
      </c>
      <c r="Z308" s="1" t="s">
        <v>43</v>
      </c>
      <c r="AA308" s="1"/>
      <c r="AB308" s="1" t="s">
        <v>44</v>
      </c>
      <c r="AC308" s="1" t="s">
        <v>45</v>
      </c>
      <c r="AD308" s="1" t="s">
        <v>43</v>
      </c>
      <c r="AE308" s="1" t="s">
        <v>43</v>
      </c>
      <c r="AF308" s="1"/>
      <c r="AG308" s="1" t="s">
        <v>43</v>
      </c>
      <c r="AH308" s="2">
        <v>46090</v>
      </c>
    </row>
    <row r="309" spans="1:34" x14ac:dyDescent="0.3">
      <c r="A309" s="1">
        <v>7872506</v>
      </c>
      <c r="B309" s="1">
        <v>10.01</v>
      </c>
      <c r="C309" s="1">
        <v>1349</v>
      </c>
      <c r="D309" s="1">
        <v>1499</v>
      </c>
      <c r="E309" s="1" t="s">
        <v>43</v>
      </c>
      <c r="F309" s="1">
        <v>0</v>
      </c>
      <c r="G309" s="1" t="s">
        <v>1268</v>
      </c>
      <c r="H309" s="1" t="s">
        <v>812</v>
      </c>
      <c r="I309" s="1" t="str">
        <f>HYPERLINK("https://www.systembolaget.se/produkt/vin/wehlener-sonnenuhr-riesling-auslese-7872506/","https://www.systembolaget.se/produkt/vin/wehlener-sonnenuhr-riesling-auslese-7872506/")</f>
        <v>https://www.systembolaget.se/produkt/vin/wehlener-sonnenuhr-riesling-auslese-7872506/</v>
      </c>
      <c r="J309" s="1">
        <v>7.54</v>
      </c>
      <c r="K309" s="1">
        <v>10.01</v>
      </c>
      <c r="L309" s="2">
        <v>45837</v>
      </c>
      <c r="M309" s="1" t="s">
        <v>1269</v>
      </c>
      <c r="N309" s="1">
        <v>0.09</v>
      </c>
      <c r="O309" s="1">
        <v>1500</v>
      </c>
      <c r="P309" s="1">
        <v>8</v>
      </c>
      <c r="Q309" s="1" t="s">
        <v>38</v>
      </c>
      <c r="R309" s="1" t="s">
        <v>39</v>
      </c>
      <c r="S309" s="1"/>
      <c r="T309" s="1"/>
      <c r="U309" s="1" t="s">
        <v>119</v>
      </c>
      <c r="V309" s="1" t="s">
        <v>814</v>
      </c>
      <c r="W309" s="1"/>
      <c r="X309" s="1" t="s">
        <v>815</v>
      </c>
      <c r="Y309" s="1" t="s">
        <v>678</v>
      </c>
      <c r="Z309" s="1" t="s">
        <v>43</v>
      </c>
      <c r="AA309" s="1">
        <v>2023</v>
      </c>
      <c r="AB309" s="1" t="s">
        <v>77</v>
      </c>
      <c r="AC309" s="1" t="s">
        <v>45</v>
      </c>
      <c r="AD309" s="1" t="s">
        <v>43</v>
      </c>
      <c r="AE309" s="1" t="s">
        <v>43</v>
      </c>
      <c r="AF309" s="1"/>
      <c r="AG309" s="1" t="s">
        <v>43</v>
      </c>
      <c r="AH309" s="2">
        <v>45845</v>
      </c>
    </row>
    <row r="310" spans="1:34" x14ac:dyDescent="0.3">
      <c r="A310" s="1">
        <v>7829706</v>
      </c>
      <c r="B310" s="1">
        <v>10</v>
      </c>
      <c r="C310" s="1">
        <v>4499</v>
      </c>
      <c r="D310" s="1">
        <v>4999</v>
      </c>
      <c r="E310" s="1" t="s">
        <v>43</v>
      </c>
      <c r="F310" s="1">
        <v>0</v>
      </c>
      <c r="G310" s="1" t="s">
        <v>1270</v>
      </c>
      <c r="H310" s="1" t="s">
        <v>971</v>
      </c>
      <c r="I310" s="1" t="str">
        <f>HYPERLINK("https://www.systembolaget.se/produkt/vin/barolo-riserva-rocche-dell-annunziata-7829706/","https://www.systembolaget.se/produkt/vin/barolo-riserva-rocche-dell-annunziata-7829706/")</f>
        <v>https://www.systembolaget.se/produkt/vin/barolo-riserva-rocche-dell-annunziata-7829706/</v>
      </c>
      <c r="J310" s="1">
        <v>8.16</v>
      </c>
      <c r="K310" s="1">
        <v>10</v>
      </c>
      <c r="L310" s="2">
        <v>45971</v>
      </c>
      <c r="M310" s="1" t="s">
        <v>1271</v>
      </c>
      <c r="N310" s="1">
        <v>0.05</v>
      </c>
      <c r="O310" s="1">
        <v>1500</v>
      </c>
      <c r="P310" s="1">
        <v>14.5</v>
      </c>
      <c r="Q310" s="1" t="s">
        <v>38</v>
      </c>
      <c r="R310" s="1" t="s">
        <v>52</v>
      </c>
      <c r="S310" s="1"/>
      <c r="T310" s="1"/>
      <c r="U310" s="1" t="s">
        <v>53</v>
      </c>
      <c r="V310" s="1" t="s">
        <v>95</v>
      </c>
      <c r="W310" s="1" t="s">
        <v>969</v>
      </c>
      <c r="X310" s="1" t="s">
        <v>971</v>
      </c>
      <c r="Y310" s="1" t="s">
        <v>678</v>
      </c>
      <c r="Z310" s="1" t="s">
        <v>43</v>
      </c>
      <c r="AA310" s="1">
        <v>2019</v>
      </c>
      <c r="AB310" s="1" t="s">
        <v>77</v>
      </c>
      <c r="AC310" s="1" t="s">
        <v>45</v>
      </c>
      <c r="AD310" s="1" t="s">
        <v>43</v>
      </c>
      <c r="AE310" s="1" t="s">
        <v>43</v>
      </c>
      <c r="AF310" s="1"/>
      <c r="AG310" s="1" t="s">
        <v>43</v>
      </c>
      <c r="AH310" s="2">
        <v>45978</v>
      </c>
    </row>
    <row r="311" spans="1:34" x14ac:dyDescent="0.3">
      <c r="A311" s="1">
        <v>7562601</v>
      </c>
      <c r="B311" s="1">
        <v>10</v>
      </c>
      <c r="C311" s="1">
        <v>3599</v>
      </c>
      <c r="D311" s="1">
        <v>3999</v>
      </c>
      <c r="E311" s="1" t="s">
        <v>43</v>
      </c>
      <c r="F311" s="1">
        <v>0</v>
      </c>
      <c r="G311" s="1" t="s">
        <v>1272</v>
      </c>
      <c r="H311" s="1" t="s">
        <v>1062</v>
      </c>
      <c r="I311" s="1" t="str">
        <f>HYPERLINK("https://www.systembolaget.se/produkt/vin/charmes-chambertin-grand-cru-7562601/","https://www.systembolaget.se/produkt/vin/charmes-chambertin-grand-cru-7562601/")</f>
        <v>https://www.systembolaget.se/produkt/vin/charmes-chambertin-grand-cru-7562601/</v>
      </c>
      <c r="J311" s="1">
        <v>5.26</v>
      </c>
      <c r="K311" s="1">
        <v>10</v>
      </c>
      <c r="L311" s="2">
        <v>45860</v>
      </c>
      <c r="M311" s="1" t="s">
        <v>1273</v>
      </c>
      <c r="N311" s="1">
        <v>0.03</v>
      </c>
      <c r="O311" s="1">
        <v>750</v>
      </c>
      <c r="P311" s="1">
        <v>13.5</v>
      </c>
      <c r="Q311" s="1" t="s">
        <v>38</v>
      </c>
      <c r="R311" s="1" t="s">
        <v>52</v>
      </c>
      <c r="S311" s="1"/>
      <c r="T311" s="1"/>
      <c r="U311" s="1" t="s">
        <v>101</v>
      </c>
      <c r="V311" s="1" t="s">
        <v>142</v>
      </c>
      <c r="W311" s="1" t="s">
        <v>725</v>
      </c>
      <c r="X311" s="1" t="s">
        <v>1064</v>
      </c>
      <c r="Y311" s="1" t="s">
        <v>678</v>
      </c>
      <c r="Z311" s="1" t="s">
        <v>43</v>
      </c>
      <c r="AA311" s="1">
        <v>2022</v>
      </c>
      <c r="AB311" s="1" t="s">
        <v>44</v>
      </c>
      <c r="AC311" s="1" t="s">
        <v>45</v>
      </c>
      <c r="AD311" s="1" t="s">
        <v>43</v>
      </c>
      <c r="AE311" s="1" t="s">
        <v>43</v>
      </c>
      <c r="AF311" s="1"/>
      <c r="AG311" s="1" t="s">
        <v>43</v>
      </c>
      <c r="AH311" s="2">
        <v>45854</v>
      </c>
    </row>
    <row r="312" spans="1:34" x14ac:dyDescent="0.3">
      <c r="A312" s="1">
        <v>7030701</v>
      </c>
      <c r="B312" s="1">
        <v>10</v>
      </c>
      <c r="C312" s="1">
        <v>8999</v>
      </c>
      <c r="D312" s="1">
        <v>9999</v>
      </c>
      <c r="E312" s="1" t="s">
        <v>43</v>
      </c>
      <c r="F312" s="1">
        <v>0</v>
      </c>
      <c r="G312" s="1" t="s">
        <v>722</v>
      </c>
      <c r="H312" s="1" t="s">
        <v>723</v>
      </c>
      <c r="I312" s="1" t="str">
        <f>HYPERLINK("https://www.systembolaget.se/produkt/vin/chambertin-grand-cru-7030701/","https://www.systembolaget.se/produkt/vin/chambertin-grand-cru-7030701/")</f>
        <v>https://www.systembolaget.se/produkt/vin/chambertin-grand-cru-7030701/</v>
      </c>
      <c r="J312" s="1">
        <v>10</v>
      </c>
      <c r="K312" s="1">
        <v>10</v>
      </c>
      <c r="L312" s="2">
        <v>45460</v>
      </c>
      <c r="M312" s="1" t="s">
        <v>1274</v>
      </c>
      <c r="N312" s="1">
        <v>0.01</v>
      </c>
      <c r="O312" s="1">
        <v>750</v>
      </c>
      <c r="P312" s="1">
        <v>13</v>
      </c>
      <c r="Q312" s="1" t="s">
        <v>38</v>
      </c>
      <c r="R312" s="1" t="s">
        <v>52</v>
      </c>
      <c r="S312" s="1"/>
      <c r="T312" s="1"/>
      <c r="U312" s="1" t="s">
        <v>101</v>
      </c>
      <c r="V312" s="1" t="s">
        <v>142</v>
      </c>
      <c r="W312" s="1" t="s">
        <v>725</v>
      </c>
      <c r="X312" s="1" t="s">
        <v>723</v>
      </c>
      <c r="Y312" s="1" t="s">
        <v>678</v>
      </c>
      <c r="Z312" s="1" t="s">
        <v>46</v>
      </c>
      <c r="AA312" s="1">
        <v>2021</v>
      </c>
      <c r="AB312" s="1" t="s">
        <v>44</v>
      </c>
      <c r="AC312" s="1" t="s">
        <v>45</v>
      </c>
      <c r="AD312" s="1" t="s">
        <v>43</v>
      </c>
      <c r="AE312" s="1" t="s">
        <v>43</v>
      </c>
      <c r="AF312" s="1"/>
      <c r="AG312" s="1" t="s">
        <v>43</v>
      </c>
      <c r="AH312" s="2">
        <v>45467</v>
      </c>
    </row>
    <row r="313" spans="1:34" x14ac:dyDescent="0.3">
      <c r="A313" s="1">
        <v>5820801</v>
      </c>
      <c r="B313" s="1">
        <v>10</v>
      </c>
      <c r="C313" s="1">
        <v>4499</v>
      </c>
      <c r="D313" s="1">
        <v>4999</v>
      </c>
      <c r="E313" s="1" t="s">
        <v>43</v>
      </c>
      <c r="F313" s="1">
        <v>0</v>
      </c>
      <c r="G313" s="1" t="s">
        <v>1275</v>
      </c>
      <c r="H313" s="1" t="s">
        <v>723</v>
      </c>
      <c r="I313" s="1" t="str">
        <f>HYPERLINK("https://www.systembolaget.se/produkt/vin/chapelle-chambertin-grand-cru-5820801/","https://www.systembolaget.se/produkt/vin/chapelle-chambertin-grand-cru-5820801/")</f>
        <v>https://www.systembolaget.se/produkt/vin/chapelle-chambertin-grand-cru-5820801/</v>
      </c>
      <c r="J313" s="1">
        <v>10</v>
      </c>
      <c r="K313" s="1">
        <v>10</v>
      </c>
      <c r="L313" s="2">
        <v>45389</v>
      </c>
      <c r="M313" s="1" t="s">
        <v>1276</v>
      </c>
      <c r="N313" s="1">
        <v>0.02</v>
      </c>
      <c r="O313" s="1">
        <v>750</v>
      </c>
      <c r="P313" s="1">
        <v>13.5</v>
      </c>
      <c r="Q313" s="1" t="s">
        <v>38</v>
      </c>
      <c r="R313" s="1" t="s">
        <v>52</v>
      </c>
      <c r="S313" s="1"/>
      <c r="T313" s="1"/>
      <c r="U313" s="1" t="s">
        <v>101</v>
      </c>
      <c r="V313" s="1" t="s">
        <v>142</v>
      </c>
      <c r="W313" s="1" t="s">
        <v>725</v>
      </c>
      <c r="X313" s="1" t="s">
        <v>723</v>
      </c>
      <c r="Y313" s="1" t="s">
        <v>678</v>
      </c>
      <c r="Z313" s="1" t="s">
        <v>46</v>
      </c>
      <c r="AA313" s="1">
        <v>2019</v>
      </c>
      <c r="AB313" s="1" t="s">
        <v>44</v>
      </c>
      <c r="AC313" s="1" t="s">
        <v>45</v>
      </c>
      <c r="AD313" s="1" t="s">
        <v>43</v>
      </c>
      <c r="AE313" s="1" t="s">
        <v>43</v>
      </c>
      <c r="AF313" s="1"/>
      <c r="AG313" s="1" t="s">
        <v>43</v>
      </c>
      <c r="AH313" s="2">
        <v>44810</v>
      </c>
    </row>
    <row r="314" spans="1:34" x14ac:dyDescent="0.3">
      <c r="A314" s="1">
        <v>7221401</v>
      </c>
      <c r="B314" s="1">
        <v>10</v>
      </c>
      <c r="C314" s="1">
        <v>4499</v>
      </c>
      <c r="D314" s="1">
        <v>4999</v>
      </c>
      <c r="E314" s="1" t="s">
        <v>43</v>
      </c>
      <c r="F314" s="1">
        <v>0</v>
      </c>
      <c r="G314" s="1" t="s">
        <v>1277</v>
      </c>
      <c r="H314" s="1" t="s">
        <v>723</v>
      </c>
      <c r="I314" s="1" t="str">
        <f>HYPERLINK("https://www.systembolaget.se/produkt/vin/latricieres-chambertin-grand-cru-7221401/","https://www.systembolaget.se/produkt/vin/latricieres-chambertin-grand-cru-7221401/")</f>
        <v>https://www.systembolaget.se/produkt/vin/latricieres-chambertin-grand-cru-7221401/</v>
      </c>
      <c r="J314" s="1">
        <v>10</v>
      </c>
      <c r="K314" s="1">
        <v>10</v>
      </c>
      <c r="L314" s="2">
        <v>45389</v>
      </c>
      <c r="M314" s="1" t="s">
        <v>1276</v>
      </c>
      <c r="N314" s="1">
        <v>0.02</v>
      </c>
      <c r="O314" s="1">
        <v>750</v>
      </c>
      <c r="P314" s="1">
        <v>13</v>
      </c>
      <c r="Q314" s="1" t="s">
        <v>38</v>
      </c>
      <c r="R314" s="1" t="s">
        <v>52</v>
      </c>
      <c r="S314" s="1"/>
      <c r="T314" s="1"/>
      <c r="U314" s="1" t="s">
        <v>101</v>
      </c>
      <c r="V314" s="1" t="s">
        <v>142</v>
      </c>
      <c r="W314" s="1" t="s">
        <v>725</v>
      </c>
      <c r="X314" s="1" t="s">
        <v>723</v>
      </c>
      <c r="Y314" s="1" t="s">
        <v>678</v>
      </c>
      <c r="Z314" s="1" t="s">
        <v>46</v>
      </c>
      <c r="AA314" s="1">
        <v>2019</v>
      </c>
      <c r="AB314" s="1" t="s">
        <v>44</v>
      </c>
      <c r="AC314" s="1" t="s">
        <v>45</v>
      </c>
      <c r="AD314" s="1" t="s">
        <v>43</v>
      </c>
      <c r="AE314" s="1" t="s">
        <v>43</v>
      </c>
      <c r="AF314" s="1"/>
      <c r="AG314" s="1" t="s">
        <v>43</v>
      </c>
      <c r="AH314" s="2">
        <v>45271</v>
      </c>
    </row>
    <row r="315" spans="1:34" x14ac:dyDescent="0.3">
      <c r="A315" s="1">
        <v>9242601</v>
      </c>
      <c r="B315" s="1">
        <v>10</v>
      </c>
      <c r="C315" s="1">
        <v>2699</v>
      </c>
      <c r="D315" s="1">
        <v>2999</v>
      </c>
      <c r="E315" s="1" t="s">
        <v>43</v>
      </c>
      <c r="F315" s="1">
        <v>0</v>
      </c>
      <c r="G315" s="1" t="s">
        <v>1278</v>
      </c>
      <c r="H315" s="1" t="s">
        <v>1137</v>
      </c>
      <c r="I315" s="1" t="str">
        <f>HYPERLINK("https://www.systembolaget.se/produkt/vin/clos-de-vougeot-grand-cru-9242601/","https://www.systembolaget.se/produkt/vin/clos-de-vougeot-grand-cru-9242601/")</f>
        <v>https://www.systembolaget.se/produkt/vin/clos-de-vougeot-grand-cru-9242601/</v>
      </c>
      <c r="J315" s="1">
        <v>10</v>
      </c>
      <c r="K315" s="1">
        <v>10</v>
      </c>
      <c r="L315" s="2">
        <v>45389</v>
      </c>
      <c r="M315" s="1" t="s">
        <v>1279</v>
      </c>
      <c r="N315" s="1">
        <v>0.04</v>
      </c>
      <c r="O315" s="1">
        <v>750</v>
      </c>
      <c r="P315" s="1">
        <v>13.5</v>
      </c>
      <c r="Q315" s="1" t="s">
        <v>38</v>
      </c>
      <c r="R315" s="1" t="s">
        <v>52</v>
      </c>
      <c r="S315" s="1"/>
      <c r="T315" s="1"/>
      <c r="U315" s="1" t="s">
        <v>101</v>
      </c>
      <c r="V315" s="1" t="s">
        <v>142</v>
      </c>
      <c r="W315" s="1" t="s">
        <v>725</v>
      </c>
      <c r="X315" s="1" t="s">
        <v>1137</v>
      </c>
      <c r="Y315" s="1" t="s">
        <v>678</v>
      </c>
      <c r="Z315" s="1" t="s">
        <v>43</v>
      </c>
      <c r="AA315" s="1">
        <v>2021</v>
      </c>
      <c r="AB315" s="1" t="s">
        <v>44</v>
      </c>
      <c r="AC315" s="1" t="s">
        <v>45</v>
      </c>
      <c r="AD315" s="1" t="s">
        <v>43</v>
      </c>
      <c r="AE315" s="1" t="s">
        <v>43</v>
      </c>
      <c r="AF315" s="1"/>
      <c r="AG315" s="1" t="s">
        <v>43</v>
      </c>
      <c r="AH315" s="2">
        <v>45309</v>
      </c>
    </row>
    <row r="316" spans="1:34" x14ac:dyDescent="0.3">
      <c r="A316" s="1">
        <v>8565001</v>
      </c>
      <c r="B316" s="1">
        <v>9.9700000000000006</v>
      </c>
      <c r="C316" s="1">
        <v>650</v>
      </c>
      <c r="D316" s="1">
        <v>722</v>
      </c>
      <c r="E316" s="1" t="s">
        <v>43</v>
      </c>
      <c r="F316" s="1">
        <v>0</v>
      </c>
      <c r="G316" s="1" t="s">
        <v>1280</v>
      </c>
      <c r="H316" s="1" t="s">
        <v>1281</v>
      </c>
      <c r="I316" s="1" t="str">
        <f>HYPERLINK("https://www.systembolaget.se/produkt/sprit/tullibardine-228-8565001/","https://www.systembolaget.se/produkt/sprit/tullibardine-228-8565001/")</f>
        <v>https://www.systembolaget.se/produkt/sprit/tullibardine-228-8565001/</v>
      </c>
      <c r="J316" s="1">
        <v>9.85</v>
      </c>
      <c r="K316" s="1">
        <v>9.9700000000000006</v>
      </c>
      <c r="L316" s="2">
        <v>45389</v>
      </c>
      <c r="M316" s="1" t="s">
        <v>1282</v>
      </c>
      <c r="N316" s="1">
        <v>0.46</v>
      </c>
      <c r="O316" s="1">
        <v>700</v>
      </c>
      <c r="P316" s="1">
        <v>43</v>
      </c>
      <c r="Q316" s="1" t="s">
        <v>308</v>
      </c>
      <c r="R316" s="1" t="s">
        <v>309</v>
      </c>
      <c r="S316" s="1" t="s">
        <v>318</v>
      </c>
      <c r="T316" s="1"/>
      <c r="U316" s="1" t="s">
        <v>253</v>
      </c>
      <c r="V316" s="1" t="s">
        <v>254</v>
      </c>
      <c r="W316" s="1" t="s">
        <v>721</v>
      </c>
      <c r="X316" s="1" t="s">
        <v>1283</v>
      </c>
      <c r="Y316" s="1" t="s">
        <v>857</v>
      </c>
      <c r="Z316" s="1" t="s">
        <v>43</v>
      </c>
      <c r="AA316" s="1"/>
      <c r="AB316" s="1" t="s">
        <v>44</v>
      </c>
      <c r="AC316" s="1" t="s">
        <v>45</v>
      </c>
      <c r="AD316" s="1" t="s">
        <v>43</v>
      </c>
      <c r="AE316" s="1" t="s">
        <v>43</v>
      </c>
      <c r="AF316" s="1"/>
      <c r="AG316" s="1" t="s">
        <v>43</v>
      </c>
      <c r="AH316" s="2">
        <v>41426</v>
      </c>
    </row>
    <row r="317" spans="1:34" x14ac:dyDescent="0.3">
      <c r="A317" s="1">
        <v>8804701</v>
      </c>
      <c r="B317" s="1">
        <v>9.86</v>
      </c>
      <c r="C317" s="1">
        <v>75</v>
      </c>
      <c r="D317" s="1">
        <v>83.2</v>
      </c>
      <c r="E317" s="1" t="s">
        <v>43</v>
      </c>
      <c r="F317" s="1">
        <v>6</v>
      </c>
      <c r="G317" s="1" t="s">
        <v>1284</v>
      </c>
      <c r="H317" s="1" t="s">
        <v>1285</v>
      </c>
      <c r="I317" s="1" t="str">
        <f>HYPERLINK("https://www.systembolaget.se/produkt/ol/omnipollo-8804701/","https://www.systembolaget.se/produkt/ol/omnipollo-8804701/")</f>
        <v>https://www.systembolaget.se/produkt/ol/omnipollo-8804701/</v>
      </c>
      <c r="J317" s="1"/>
      <c r="K317" s="1">
        <v>9.86</v>
      </c>
      <c r="L317" s="2">
        <v>46202</v>
      </c>
      <c r="M317" s="1" t="s">
        <v>1286</v>
      </c>
      <c r="N317" s="1">
        <v>0.9</v>
      </c>
      <c r="O317" s="1">
        <v>750</v>
      </c>
      <c r="P317" s="1">
        <v>9</v>
      </c>
      <c r="Q317" s="1" t="s">
        <v>107</v>
      </c>
      <c r="R317" s="1" t="s">
        <v>108</v>
      </c>
      <c r="S317" s="1" t="s">
        <v>1287</v>
      </c>
      <c r="T317" s="1"/>
      <c r="U317" s="1" t="s">
        <v>110</v>
      </c>
      <c r="V317" s="1"/>
      <c r="W317" s="1"/>
      <c r="X317" s="1" t="s">
        <v>1288</v>
      </c>
      <c r="Y317" s="1" t="s">
        <v>1288</v>
      </c>
      <c r="Z317" s="1" t="s">
        <v>43</v>
      </c>
      <c r="AA317" s="1"/>
      <c r="AB317" s="1" t="s">
        <v>44</v>
      </c>
      <c r="AC317" s="1" t="s">
        <v>45</v>
      </c>
      <c r="AD317" s="1" t="s">
        <v>43</v>
      </c>
      <c r="AE317" s="1" t="s">
        <v>43</v>
      </c>
      <c r="AF317" s="1"/>
      <c r="AG317" s="1" t="s">
        <v>43</v>
      </c>
      <c r="AH317" s="2">
        <v>46209</v>
      </c>
    </row>
    <row r="318" spans="1:34" x14ac:dyDescent="0.3">
      <c r="A318" s="1">
        <v>9318201</v>
      </c>
      <c r="B318" s="1">
        <v>9.7899999999999991</v>
      </c>
      <c r="C318" s="1">
        <v>829</v>
      </c>
      <c r="D318" s="1">
        <v>919</v>
      </c>
      <c r="E318" s="1" t="s">
        <v>43</v>
      </c>
      <c r="F318" s="1">
        <v>0</v>
      </c>
      <c r="G318" s="1" t="s">
        <v>1289</v>
      </c>
      <c r="H318" s="1" t="s">
        <v>971</v>
      </c>
      <c r="I318" s="1" t="str">
        <f>HYPERLINK("https://www.systembolaget.se/produkt/vin/barolo-bussia-vigna-fantini-9318201/","https://www.systembolaget.se/produkt/vin/barolo-bussia-vigna-fantini-9318201/")</f>
        <v>https://www.systembolaget.se/produkt/vin/barolo-bussia-vigna-fantini-9318201/</v>
      </c>
      <c r="J318" s="1">
        <v>7.79</v>
      </c>
      <c r="K318" s="1">
        <v>9.7899999999999991</v>
      </c>
      <c r="L318" s="2">
        <v>45925</v>
      </c>
      <c r="M318" s="1" t="s">
        <v>1290</v>
      </c>
      <c r="N318" s="1">
        <v>0.14000000000000001</v>
      </c>
      <c r="O318" s="1">
        <v>750</v>
      </c>
      <c r="P318" s="1">
        <v>15</v>
      </c>
      <c r="Q318" s="1" t="s">
        <v>38</v>
      </c>
      <c r="R318" s="1" t="s">
        <v>52</v>
      </c>
      <c r="S318" s="1"/>
      <c r="T318" s="1"/>
      <c r="U318" s="1" t="s">
        <v>53</v>
      </c>
      <c r="V318" s="1" t="s">
        <v>95</v>
      </c>
      <c r="W318" s="1" t="s">
        <v>969</v>
      </c>
      <c r="X318" s="1" t="s">
        <v>971</v>
      </c>
      <c r="Y318" s="1" t="s">
        <v>678</v>
      </c>
      <c r="Z318" s="1" t="s">
        <v>43</v>
      </c>
      <c r="AA318" s="1">
        <v>2021</v>
      </c>
      <c r="AB318" s="1" t="s">
        <v>44</v>
      </c>
      <c r="AC318" s="1" t="s">
        <v>45</v>
      </c>
      <c r="AD318" s="1" t="s">
        <v>43</v>
      </c>
      <c r="AE318" s="1" t="s">
        <v>43</v>
      </c>
      <c r="AF318" s="1"/>
      <c r="AG318" s="1" t="s">
        <v>43</v>
      </c>
      <c r="AH318" s="2">
        <v>45946</v>
      </c>
    </row>
    <row r="319" spans="1:34" x14ac:dyDescent="0.3">
      <c r="A319" s="1">
        <v>3397401</v>
      </c>
      <c r="B319" s="1">
        <v>9.77</v>
      </c>
      <c r="C319" s="1">
        <v>38.799999999999997</v>
      </c>
      <c r="D319" s="1">
        <v>43</v>
      </c>
      <c r="E319" s="1" t="s">
        <v>551</v>
      </c>
      <c r="F319" s="1">
        <v>0</v>
      </c>
      <c r="G319" s="1" t="s">
        <v>1104</v>
      </c>
      <c r="H319" s="1" t="s">
        <v>1291</v>
      </c>
      <c r="I319" s="1" t="str">
        <f>HYPERLINK("https://www.systembolaget.se/produkt/ol/torsol-3397401/","https://www.systembolaget.se/produkt/ol/torsol-3397401/")</f>
        <v>https://www.systembolaget.se/produkt/ol/torsol-3397401/</v>
      </c>
      <c r="J319" s="1">
        <v>3.72</v>
      </c>
      <c r="K319" s="1">
        <v>9.77</v>
      </c>
      <c r="L319" s="2">
        <v>45796</v>
      </c>
      <c r="M319" s="1" t="s">
        <v>1292</v>
      </c>
      <c r="N319" s="1">
        <v>0.89</v>
      </c>
      <c r="O319" s="1">
        <v>500</v>
      </c>
      <c r="P319" s="1">
        <v>6.9</v>
      </c>
      <c r="Q319" s="1" t="s">
        <v>107</v>
      </c>
      <c r="R319" s="1" t="s">
        <v>134</v>
      </c>
      <c r="S319" s="1" t="s">
        <v>885</v>
      </c>
      <c r="T319" s="1"/>
      <c r="U319" s="1" t="s">
        <v>110</v>
      </c>
      <c r="V319" s="1" t="s">
        <v>136</v>
      </c>
      <c r="W319" s="1" t="s">
        <v>1107</v>
      </c>
      <c r="X319" s="1" t="s">
        <v>1108</v>
      </c>
      <c r="Y319" s="1" t="s">
        <v>1109</v>
      </c>
      <c r="Z319" s="1" t="s">
        <v>43</v>
      </c>
      <c r="AA319" s="1"/>
      <c r="AB319" s="1" t="s">
        <v>882</v>
      </c>
      <c r="AC319" s="1" t="s">
        <v>115</v>
      </c>
      <c r="AD319" s="1" t="s">
        <v>46</v>
      </c>
      <c r="AE319" s="1" t="s">
        <v>43</v>
      </c>
      <c r="AF319" s="1"/>
      <c r="AG319" s="1" t="s">
        <v>43</v>
      </c>
      <c r="AH319" s="2">
        <v>45817</v>
      </c>
    </row>
    <row r="320" spans="1:34" x14ac:dyDescent="0.3">
      <c r="A320" s="1">
        <v>3047101</v>
      </c>
      <c r="B320" s="1">
        <v>9.77</v>
      </c>
      <c r="C320" s="1">
        <v>38.799999999999997</v>
      </c>
      <c r="D320" s="1">
        <v>43</v>
      </c>
      <c r="E320" s="1" t="s">
        <v>43</v>
      </c>
      <c r="F320" s="1">
        <v>0</v>
      </c>
      <c r="G320" s="1" t="s">
        <v>1104</v>
      </c>
      <c r="H320" s="1" t="s">
        <v>1293</v>
      </c>
      <c r="I320" s="1" t="str">
        <f>HYPERLINK("https://www.systembolaget.se/produkt/ol/torsol-3047101/","https://www.systembolaget.se/produkt/ol/torsol-3047101/")</f>
        <v>https://www.systembolaget.se/produkt/ol/torsol-3047101/</v>
      </c>
      <c r="J320" s="1">
        <v>9.77</v>
      </c>
      <c r="K320" s="1">
        <v>9.77</v>
      </c>
      <c r="L320" s="2">
        <v>45516</v>
      </c>
      <c r="M320" s="1" t="s">
        <v>1294</v>
      </c>
      <c r="N320" s="1">
        <v>0.82</v>
      </c>
      <c r="O320" s="1">
        <v>500</v>
      </c>
      <c r="P320" s="1">
        <v>6.4</v>
      </c>
      <c r="Q320" s="1" t="s">
        <v>107</v>
      </c>
      <c r="R320" s="1" t="s">
        <v>712</v>
      </c>
      <c r="S320" s="1" t="s">
        <v>713</v>
      </c>
      <c r="T320" s="1"/>
      <c r="U320" s="1" t="s">
        <v>110</v>
      </c>
      <c r="V320" s="1" t="s">
        <v>136</v>
      </c>
      <c r="W320" s="1" t="s">
        <v>1107</v>
      </c>
      <c r="X320" s="1" t="s">
        <v>1108</v>
      </c>
      <c r="Y320" s="1" t="s">
        <v>1109</v>
      </c>
      <c r="Z320" s="1" t="s">
        <v>43</v>
      </c>
      <c r="AA320" s="1"/>
      <c r="AB320" s="1" t="s">
        <v>882</v>
      </c>
      <c r="AC320" s="1" t="s">
        <v>115</v>
      </c>
      <c r="AD320" s="1" t="s">
        <v>43</v>
      </c>
      <c r="AE320" s="1" t="s">
        <v>43</v>
      </c>
      <c r="AF320" s="1"/>
      <c r="AG320" s="1" t="s">
        <v>43</v>
      </c>
      <c r="AH320" s="2">
        <v>46125</v>
      </c>
    </row>
    <row r="321" spans="1:34" x14ac:dyDescent="0.3">
      <c r="A321" s="1">
        <v>3069101</v>
      </c>
      <c r="B321" s="1">
        <v>9.77</v>
      </c>
      <c r="C321" s="1">
        <v>38.799999999999997</v>
      </c>
      <c r="D321" s="1">
        <v>43</v>
      </c>
      <c r="E321" s="1" t="s">
        <v>43</v>
      </c>
      <c r="F321" s="1">
        <v>0</v>
      </c>
      <c r="G321" s="1" t="s">
        <v>1104</v>
      </c>
      <c r="H321" s="1" t="s">
        <v>1295</v>
      </c>
      <c r="I321" s="1" t="str">
        <f>HYPERLINK("https://www.systembolaget.se/produkt/ol/torsol-3069101/","https://www.systembolaget.se/produkt/ol/torsol-3069101/")</f>
        <v>https://www.systembolaget.se/produkt/ol/torsol-3069101/</v>
      </c>
      <c r="J321" s="1"/>
      <c r="K321" s="1">
        <v>9.77</v>
      </c>
      <c r="L321" s="2">
        <v>45516</v>
      </c>
      <c r="M321" s="1" t="s">
        <v>1296</v>
      </c>
      <c r="N321" s="1">
        <v>0.86</v>
      </c>
      <c r="O321" s="1">
        <v>500</v>
      </c>
      <c r="P321" s="1">
        <v>6.7</v>
      </c>
      <c r="Q321" s="1" t="s">
        <v>107</v>
      </c>
      <c r="R321" s="1" t="s">
        <v>134</v>
      </c>
      <c r="S321" s="1" t="s">
        <v>1297</v>
      </c>
      <c r="T321" s="1"/>
      <c r="U321" s="1" t="s">
        <v>110</v>
      </c>
      <c r="V321" s="1" t="s">
        <v>136</v>
      </c>
      <c r="W321" s="1" t="s">
        <v>1107</v>
      </c>
      <c r="X321" s="1" t="s">
        <v>1108</v>
      </c>
      <c r="Y321" s="1" t="s">
        <v>1109</v>
      </c>
      <c r="Z321" s="1" t="s">
        <v>43</v>
      </c>
      <c r="AA321" s="1"/>
      <c r="AB321" s="1" t="s">
        <v>882</v>
      </c>
      <c r="AC321" s="1" t="s">
        <v>115</v>
      </c>
      <c r="AD321" s="1" t="s">
        <v>43</v>
      </c>
      <c r="AE321" s="1" t="s">
        <v>43</v>
      </c>
      <c r="AF321" s="1"/>
      <c r="AG321" s="1" t="s">
        <v>43</v>
      </c>
      <c r="AH321" s="2">
        <v>46055</v>
      </c>
    </row>
    <row r="322" spans="1:34" x14ac:dyDescent="0.3">
      <c r="A322" s="1">
        <v>3247301</v>
      </c>
      <c r="B322" s="1">
        <v>9.77</v>
      </c>
      <c r="C322" s="1">
        <v>38.799999999999997</v>
      </c>
      <c r="D322" s="1">
        <v>43</v>
      </c>
      <c r="E322" s="1" t="s">
        <v>43</v>
      </c>
      <c r="F322" s="1">
        <v>0</v>
      </c>
      <c r="G322" s="1" t="s">
        <v>1110</v>
      </c>
      <c r="H322" s="1" t="s">
        <v>1298</v>
      </c>
      <c r="I322" s="1" t="str">
        <f>HYPERLINK("https://www.systembolaget.se/produkt/ol/torsol-microbryggeri-3247301/","https://www.systembolaget.se/produkt/ol/torsol-microbryggeri-3247301/")</f>
        <v>https://www.systembolaget.se/produkt/ol/torsol-microbryggeri-3247301/</v>
      </c>
      <c r="J322" s="1">
        <v>9.77</v>
      </c>
      <c r="K322" s="1">
        <v>9.77</v>
      </c>
      <c r="L322" s="2">
        <v>45579</v>
      </c>
      <c r="M322" s="1" t="s">
        <v>1299</v>
      </c>
      <c r="N322" s="1">
        <v>0.85</v>
      </c>
      <c r="O322" s="1">
        <v>500</v>
      </c>
      <c r="P322" s="1">
        <v>6.6</v>
      </c>
      <c r="Q322" s="1" t="s">
        <v>107</v>
      </c>
      <c r="R322" s="1" t="s">
        <v>134</v>
      </c>
      <c r="S322" s="1" t="s">
        <v>1297</v>
      </c>
      <c r="T322" s="1"/>
      <c r="U322" s="1" t="s">
        <v>110</v>
      </c>
      <c r="V322" s="1" t="s">
        <v>136</v>
      </c>
      <c r="W322" s="1" t="s">
        <v>1107</v>
      </c>
      <c r="X322" s="1" t="s">
        <v>1108</v>
      </c>
      <c r="Y322" s="1" t="s">
        <v>1109</v>
      </c>
      <c r="Z322" s="1" t="s">
        <v>43</v>
      </c>
      <c r="AA322" s="1"/>
      <c r="AB322" s="1" t="s">
        <v>882</v>
      </c>
      <c r="AC322" s="1" t="s">
        <v>115</v>
      </c>
      <c r="AD322" s="1" t="s">
        <v>46</v>
      </c>
      <c r="AE322" s="1" t="s">
        <v>43</v>
      </c>
      <c r="AF322" s="1"/>
      <c r="AG322" s="1" t="s">
        <v>43</v>
      </c>
      <c r="AH322" s="2">
        <v>46083</v>
      </c>
    </row>
    <row r="323" spans="1:34" x14ac:dyDescent="0.3">
      <c r="A323" s="1">
        <v>3221001</v>
      </c>
      <c r="B323" s="1">
        <v>9.74</v>
      </c>
      <c r="C323" s="1">
        <v>38.9</v>
      </c>
      <c r="D323" s="1">
        <v>43.1</v>
      </c>
      <c r="E323" s="1" t="s">
        <v>43</v>
      </c>
      <c r="F323" s="1">
        <v>0</v>
      </c>
      <c r="G323" s="1" t="s">
        <v>1104</v>
      </c>
      <c r="H323" s="1" t="s">
        <v>1300</v>
      </c>
      <c r="I323" s="1" t="str">
        <f>HYPERLINK("https://www.systembolaget.se/produkt/ol/torsol-3221001/","https://www.systembolaget.se/produkt/ol/torsol-3221001/")</f>
        <v>https://www.systembolaget.se/produkt/ol/torsol-3221001/</v>
      </c>
      <c r="J323" s="1">
        <v>9.74</v>
      </c>
      <c r="K323" s="1">
        <v>9.74</v>
      </c>
      <c r="L323" s="2">
        <v>45978</v>
      </c>
      <c r="M323" s="1" t="s">
        <v>1301</v>
      </c>
      <c r="N323" s="1">
        <v>0.71</v>
      </c>
      <c r="O323" s="1">
        <v>500</v>
      </c>
      <c r="P323" s="1">
        <v>5.5</v>
      </c>
      <c r="Q323" s="1" t="s">
        <v>107</v>
      </c>
      <c r="R323" s="1" t="s">
        <v>134</v>
      </c>
      <c r="S323" s="1" t="s">
        <v>243</v>
      </c>
      <c r="T323" s="1"/>
      <c r="U323" s="1" t="s">
        <v>110</v>
      </c>
      <c r="V323" s="1" t="s">
        <v>136</v>
      </c>
      <c r="W323" s="1" t="s">
        <v>1107</v>
      </c>
      <c r="X323" s="1" t="s">
        <v>1108</v>
      </c>
      <c r="Y323" s="1" t="s">
        <v>1109</v>
      </c>
      <c r="Z323" s="1" t="s">
        <v>43</v>
      </c>
      <c r="AA323" s="1"/>
      <c r="AB323" s="1" t="s">
        <v>882</v>
      </c>
      <c r="AC323" s="1" t="s">
        <v>115</v>
      </c>
      <c r="AD323" s="1" t="s">
        <v>46</v>
      </c>
      <c r="AE323" s="1" t="s">
        <v>43</v>
      </c>
      <c r="AF323" s="1"/>
      <c r="AG323" s="1" t="s">
        <v>43</v>
      </c>
      <c r="AH323" s="2">
        <v>45999</v>
      </c>
    </row>
    <row r="324" spans="1:34" x14ac:dyDescent="0.3">
      <c r="A324" s="1">
        <v>3094601</v>
      </c>
      <c r="B324" s="1">
        <v>9.74</v>
      </c>
      <c r="C324" s="1">
        <v>38.9</v>
      </c>
      <c r="D324" s="1">
        <v>43.1</v>
      </c>
      <c r="E324" s="1" t="s">
        <v>551</v>
      </c>
      <c r="F324" s="1">
        <v>0</v>
      </c>
      <c r="G324" s="1" t="s">
        <v>1104</v>
      </c>
      <c r="H324" s="1" t="s">
        <v>1302</v>
      </c>
      <c r="I324" s="1" t="str">
        <f>HYPERLINK("https://www.systembolaget.se/produkt/ol/torsol-3094601/","https://www.systembolaget.se/produkt/ol/torsol-3094601/")</f>
        <v>https://www.systembolaget.se/produkt/ol/torsol-3094601/</v>
      </c>
      <c r="J324" s="1">
        <v>9.74</v>
      </c>
      <c r="K324" s="1">
        <v>9.74</v>
      </c>
      <c r="L324" s="2">
        <v>45516</v>
      </c>
      <c r="M324" s="1" t="s">
        <v>1303</v>
      </c>
      <c r="N324" s="1">
        <v>0.72</v>
      </c>
      <c r="O324" s="1">
        <v>500</v>
      </c>
      <c r="P324" s="1">
        <v>5.6</v>
      </c>
      <c r="Q324" s="1" t="s">
        <v>107</v>
      </c>
      <c r="R324" s="1" t="s">
        <v>108</v>
      </c>
      <c r="S324" s="1" t="s">
        <v>790</v>
      </c>
      <c r="T324" s="1"/>
      <c r="U324" s="1" t="s">
        <v>110</v>
      </c>
      <c r="V324" s="1" t="s">
        <v>136</v>
      </c>
      <c r="W324" s="1" t="s">
        <v>1107</v>
      </c>
      <c r="X324" s="1" t="s">
        <v>1108</v>
      </c>
      <c r="Y324" s="1" t="s">
        <v>1109</v>
      </c>
      <c r="Z324" s="1" t="s">
        <v>43</v>
      </c>
      <c r="AA324" s="1"/>
      <c r="AB324" s="1" t="s">
        <v>882</v>
      </c>
      <c r="AC324" s="1" t="s">
        <v>115</v>
      </c>
      <c r="AD324" s="1" t="s">
        <v>46</v>
      </c>
      <c r="AE324" s="1" t="s">
        <v>43</v>
      </c>
      <c r="AF324" s="1"/>
      <c r="AG324" s="1" t="s">
        <v>43</v>
      </c>
      <c r="AH324" s="2">
        <v>45999</v>
      </c>
    </row>
    <row r="325" spans="1:34" x14ac:dyDescent="0.3">
      <c r="A325" s="1">
        <v>40501</v>
      </c>
      <c r="B325" s="1">
        <v>9.7200000000000006</v>
      </c>
      <c r="C325" s="1">
        <v>288</v>
      </c>
      <c r="D325" s="1">
        <v>319</v>
      </c>
      <c r="E325" s="1" t="s">
        <v>43</v>
      </c>
      <c r="F325" s="1">
        <v>0</v>
      </c>
      <c r="G325" s="1" t="s">
        <v>1304</v>
      </c>
      <c r="H325" s="1" t="s">
        <v>1305</v>
      </c>
      <c r="I325" s="1" t="str">
        <f>HYPERLINK("https://www.systembolaget.se/produkt/sprit/agitator-40501/","https://www.systembolaget.se/produkt/sprit/agitator-40501/")</f>
        <v>https://www.systembolaget.se/produkt/sprit/agitator-40501/</v>
      </c>
      <c r="J325" s="1">
        <v>9.7200000000000006</v>
      </c>
      <c r="K325" s="1">
        <v>9.7200000000000006</v>
      </c>
      <c r="L325" s="2">
        <v>45402</v>
      </c>
      <c r="M325" s="1" t="s">
        <v>1306</v>
      </c>
      <c r="N325" s="1">
        <v>0.97</v>
      </c>
      <c r="O325" s="1">
        <v>700</v>
      </c>
      <c r="P325" s="1">
        <v>40</v>
      </c>
      <c r="Q325" s="1" t="s">
        <v>308</v>
      </c>
      <c r="R325" s="1" t="s">
        <v>309</v>
      </c>
      <c r="S325" s="1" t="s">
        <v>1072</v>
      </c>
      <c r="T325" s="1"/>
      <c r="U325" s="1" t="s">
        <v>110</v>
      </c>
      <c r="V325" s="1"/>
      <c r="W325" s="1"/>
      <c r="X325" s="1" t="s">
        <v>1304</v>
      </c>
      <c r="Y325" s="1" t="s">
        <v>1307</v>
      </c>
      <c r="Z325" s="1" t="s">
        <v>43</v>
      </c>
      <c r="AA325" s="1"/>
      <c r="AB325" s="1" t="s">
        <v>44</v>
      </c>
      <c r="AC325" s="1" t="s">
        <v>90</v>
      </c>
      <c r="AD325" s="1" t="s">
        <v>43</v>
      </c>
      <c r="AE325" s="1" t="s">
        <v>43</v>
      </c>
      <c r="AF325" s="1">
        <v>2</v>
      </c>
      <c r="AG325" s="1" t="s">
        <v>43</v>
      </c>
      <c r="AH325" s="2">
        <v>44713</v>
      </c>
    </row>
    <row r="326" spans="1:34" x14ac:dyDescent="0.3">
      <c r="A326" s="1">
        <v>3221801</v>
      </c>
      <c r="B326" s="1">
        <v>9.5299999999999994</v>
      </c>
      <c r="C326" s="1">
        <v>38.9</v>
      </c>
      <c r="D326" s="1">
        <v>43</v>
      </c>
      <c r="E326" s="1" t="s">
        <v>43</v>
      </c>
      <c r="F326" s="1">
        <v>0</v>
      </c>
      <c r="G326" s="1" t="s">
        <v>1104</v>
      </c>
      <c r="H326" s="1" t="s">
        <v>1308</v>
      </c>
      <c r="I326" s="1" t="str">
        <f>HYPERLINK("https://www.systembolaget.se/produkt/ol/torsol-3221801/","https://www.systembolaget.se/produkt/ol/torsol-3221801/")</f>
        <v>https://www.systembolaget.se/produkt/ol/torsol-3221801/</v>
      </c>
      <c r="J326" s="1">
        <v>9.5299999999999994</v>
      </c>
      <c r="K326" s="1">
        <v>9.5299999999999994</v>
      </c>
      <c r="L326" s="2">
        <v>45516</v>
      </c>
      <c r="M326" s="1" t="s">
        <v>1309</v>
      </c>
      <c r="N326" s="1">
        <v>0.81</v>
      </c>
      <c r="O326" s="1">
        <v>500</v>
      </c>
      <c r="P326" s="1">
        <v>6.3</v>
      </c>
      <c r="Q326" s="1" t="s">
        <v>107</v>
      </c>
      <c r="R326" s="1" t="s">
        <v>108</v>
      </c>
      <c r="S326" s="1" t="s">
        <v>790</v>
      </c>
      <c r="T326" s="1"/>
      <c r="U326" s="1" t="s">
        <v>110</v>
      </c>
      <c r="V326" s="1" t="s">
        <v>136</v>
      </c>
      <c r="W326" s="1" t="s">
        <v>1107</v>
      </c>
      <c r="X326" s="1" t="s">
        <v>1108</v>
      </c>
      <c r="Y326" s="1" t="s">
        <v>1109</v>
      </c>
      <c r="Z326" s="1" t="s">
        <v>43</v>
      </c>
      <c r="AA326" s="1"/>
      <c r="AB326" s="1" t="s">
        <v>882</v>
      </c>
      <c r="AC326" s="1" t="s">
        <v>115</v>
      </c>
      <c r="AD326" s="1" t="s">
        <v>46</v>
      </c>
      <c r="AE326" s="1" t="s">
        <v>43</v>
      </c>
      <c r="AF326" s="1"/>
      <c r="AG326" s="1" t="s">
        <v>43</v>
      </c>
      <c r="AH326" s="2">
        <v>45537</v>
      </c>
    </row>
    <row r="327" spans="1:34" x14ac:dyDescent="0.3">
      <c r="A327" s="1">
        <v>3302601</v>
      </c>
      <c r="B327" s="1">
        <v>9.5299999999999994</v>
      </c>
      <c r="C327" s="1">
        <v>38.9</v>
      </c>
      <c r="D327" s="1">
        <v>43</v>
      </c>
      <c r="E327" s="1" t="s">
        <v>43</v>
      </c>
      <c r="F327" s="1">
        <v>0</v>
      </c>
      <c r="G327" s="1" t="s">
        <v>1110</v>
      </c>
      <c r="H327" s="1" t="s">
        <v>1310</v>
      </c>
      <c r="I327" s="1" t="str">
        <f>HYPERLINK("https://www.systembolaget.se/produkt/ol/torsol-microbryggeri-3302601/","https://www.systembolaget.se/produkt/ol/torsol-microbryggeri-3302601/")</f>
        <v>https://www.systembolaget.se/produkt/ol/torsol-microbryggeri-3302601/</v>
      </c>
      <c r="J327" s="1">
        <v>9.5299999999999994</v>
      </c>
      <c r="K327" s="1">
        <v>9.5299999999999994</v>
      </c>
      <c r="L327" s="2">
        <v>45579</v>
      </c>
      <c r="M327" s="1" t="s">
        <v>1311</v>
      </c>
      <c r="N327" s="1">
        <v>0.8</v>
      </c>
      <c r="O327" s="1">
        <v>500</v>
      </c>
      <c r="P327" s="1">
        <v>6.2</v>
      </c>
      <c r="Q327" s="1" t="s">
        <v>107</v>
      </c>
      <c r="R327" s="1" t="s">
        <v>108</v>
      </c>
      <c r="S327" s="1" t="s">
        <v>693</v>
      </c>
      <c r="T327" s="1"/>
      <c r="U327" s="1" t="s">
        <v>110</v>
      </c>
      <c r="V327" s="1" t="s">
        <v>136</v>
      </c>
      <c r="W327" s="1" t="s">
        <v>1107</v>
      </c>
      <c r="X327" s="1" t="s">
        <v>1108</v>
      </c>
      <c r="Y327" s="1" t="s">
        <v>1109</v>
      </c>
      <c r="Z327" s="1" t="s">
        <v>43</v>
      </c>
      <c r="AA327" s="1">
        <v>2025</v>
      </c>
      <c r="AB327" s="1" t="s">
        <v>882</v>
      </c>
      <c r="AC327" s="1" t="s">
        <v>115</v>
      </c>
      <c r="AD327" s="1" t="s">
        <v>46</v>
      </c>
      <c r="AE327" s="1" t="s">
        <v>43</v>
      </c>
      <c r="AF327" s="1"/>
      <c r="AG327" s="1" t="s">
        <v>43</v>
      </c>
      <c r="AH327" s="2">
        <v>45964</v>
      </c>
    </row>
    <row r="328" spans="1:34" x14ac:dyDescent="0.3">
      <c r="A328" s="1">
        <v>8003902</v>
      </c>
      <c r="B328" s="1">
        <v>9.4499999999999993</v>
      </c>
      <c r="C328" s="1">
        <v>249</v>
      </c>
      <c r="D328" s="1">
        <v>275</v>
      </c>
      <c r="E328" s="1" t="s">
        <v>459</v>
      </c>
      <c r="F328" s="1">
        <v>0</v>
      </c>
      <c r="G328" s="1" t="s">
        <v>1312</v>
      </c>
      <c r="H328" s="1" t="s">
        <v>1313</v>
      </c>
      <c r="I328" s="1" t="str">
        <f>HYPERLINK("https://www.systembolaget.se/produkt/sprit/edinburgh-8003902/","https://www.systembolaget.se/produkt/sprit/edinburgh-8003902/")</f>
        <v>https://www.systembolaget.se/produkt/sprit/edinburgh-8003902/</v>
      </c>
      <c r="J328" s="1">
        <v>7.43</v>
      </c>
      <c r="K328" s="1">
        <v>9.4499999999999993</v>
      </c>
      <c r="L328" s="2">
        <v>45532</v>
      </c>
      <c r="M328" s="1" t="s">
        <v>1314</v>
      </c>
      <c r="N328" s="1">
        <v>0.4</v>
      </c>
      <c r="O328" s="1">
        <v>500</v>
      </c>
      <c r="P328" s="1">
        <v>20</v>
      </c>
      <c r="Q328" s="1" t="s">
        <v>308</v>
      </c>
      <c r="R328" s="1" t="s">
        <v>378</v>
      </c>
      <c r="S328" s="1" t="s">
        <v>1315</v>
      </c>
      <c r="T328" s="1"/>
      <c r="U328" s="1" t="s">
        <v>253</v>
      </c>
      <c r="V328" s="1" t="s">
        <v>254</v>
      </c>
      <c r="W328" s="1"/>
      <c r="X328" s="1" t="s">
        <v>542</v>
      </c>
      <c r="Y328" s="1" t="s">
        <v>256</v>
      </c>
      <c r="Z328" s="1" t="s">
        <v>43</v>
      </c>
      <c r="AA328" s="1"/>
      <c r="AB328" s="1" t="s">
        <v>44</v>
      </c>
      <c r="AC328" s="1" t="s">
        <v>45</v>
      </c>
      <c r="AD328" s="1" t="s">
        <v>43</v>
      </c>
      <c r="AE328" s="1" t="s">
        <v>43</v>
      </c>
      <c r="AF328" s="1"/>
      <c r="AG328" s="1" t="s">
        <v>43</v>
      </c>
      <c r="AH328" s="2">
        <v>43374</v>
      </c>
    </row>
    <row r="329" spans="1:34" x14ac:dyDescent="0.3">
      <c r="A329" s="1">
        <v>7799301</v>
      </c>
      <c r="B329" s="1">
        <v>9.44</v>
      </c>
      <c r="C329" s="1">
        <v>4799</v>
      </c>
      <c r="D329" s="1">
        <v>5299</v>
      </c>
      <c r="E329" s="1" t="s">
        <v>43</v>
      </c>
      <c r="F329" s="1">
        <v>0</v>
      </c>
      <c r="G329" s="1" t="s">
        <v>1316</v>
      </c>
      <c r="H329" s="1" t="s">
        <v>1137</v>
      </c>
      <c r="I329" s="1" t="str">
        <f>HYPERLINK("https://www.systembolaget.se/produkt/vin/bonnes-mares-grand-cru-7799301/","https://www.systembolaget.se/produkt/vin/bonnes-mares-grand-cru-7799301/")</f>
        <v>https://www.systembolaget.se/produkt/vin/bonnes-mares-grand-cru-7799301/</v>
      </c>
      <c r="J329" s="1">
        <v>9.44</v>
      </c>
      <c r="K329" s="1">
        <v>9.44</v>
      </c>
      <c r="L329" s="2">
        <v>45952</v>
      </c>
      <c r="M329" s="1" t="s">
        <v>1317</v>
      </c>
      <c r="N329" s="1">
        <v>0.02</v>
      </c>
      <c r="O329" s="1">
        <v>750</v>
      </c>
      <c r="P329" s="1">
        <v>13</v>
      </c>
      <c r="Q329" s="1" t="s">
        <v>38</v>
      </c>
      <c r="R329" s="1" t="s">
        <v>52</v>
      </c>
      <c r="S329" s="1"/>
      <c r="T329" s="1"/>
      <c r="U329" s="1" t="s">
        <v>101</v>
      </c>
      <c r="V329" s="1" t="s">
        <v>142</v>
      </c>
      <c r="W329" s="1" t="s">
        <v>725</v>
      </c>
      <c r="X329" s="1" t="s">
        <v>1137</v>
      </c>
      <c r="Y329" s="1" t="s">
        <v>678</v>
      </c>
      <c r="Z329" s="1" t="s">
        <v>46</v>
      </c>
      <c r="AA329" s="1">
        <v>2022</v>
      </c>
      <c r="AB329" s="1" t="s">
        <v>44</v>
      </c>
      <c r="AC329" s="1" t="s">
        <v>45</v>
      </c>
      <c r="AD329" s="1" t="s">
        <v>43</v>
      </c>
      <c r="AE329" s="1" t="s">
        <v>43</v>
      </c>
      <c r="AF329" s="1"/>
      <c r="AG329" s="1" t="s">
        <v>43</v>
      </c>
      <c r="AH329" s="2">
        <v>45959</v>
      </c>
    </row>
    <row r="330" spans="1:34" x14ac:dyDescent="0.3">
      <c r="A330" s="1">
        <v>280201</v>
      </c>
      <c r="B330" s="1">
        <v>9.17</v>
      </c>
      <c r="C330" s="1">
        <v>99</v>
      </c>
      <c r="D330" s="1">
        <v>109</v>
      </c>
      <c r="E330" s="1" t="s">
        <v>43</v>
      </c>
      <c r="F330" s="1">
        <v>0</v>
      </c>
      <c r="G330" s="1" t="s">
        <v>1318</v>
      </c>
      <c r="H330" s="1" t="s">
        <v>1319</v>
      </c>
      <c r="I330" s="1" t="str">
        <f>HYPERLINK("https://www.systembolaget.se/produkt/vin/marrenon-280201/","https://www.systembolaget.se/produkt/vin/marrenon-280201/")</f>
        <v>https://www.systembolaget.se/produkt/vin/marrenon-280201/</v>
      </c>
      <c r="J330" s="1">
        <v>9.17</v>
      </c>
      <c r="K330" s="1">
        <v>9.17</v>
      </c>
      <c r="L330" s="2">
        <v>45427</v>
      </c>
      <c r="M330" s="1" t="s">
        <v>1320</v>
      </c>
      <c r="N330" s="1">
        <v>0.95</v>
      </c>
      <c r="O330" s="1">
        <v>750</v>
      </c>
      <c r="P330" s="1">
        <v>12.5</v>
      </c>
      <c r="Q330" s="1" t="s">
        <v>38</v>
      </c>
      <c r="R330" s="1" t="s">
        <v>52</v>
      </c>
      <c r="S330" s="1" t="s">
        <v>72</v>
      </c>
      <c r="T330" s="1"/>
      <c r="U330" s="1" t="s">
        <v>101</v>
      </c>
      <c r="V330" s="1" t="s">
        <v>1321</v>
      </c>
      <c r="W330" s="1"/>
      <c r="X330" s="1" t="s">
        <v>1322</v>
      </c>
      <c r="Y330" s="1" t="s">
        <v>1323</v>
      </c>
      <c r="Z330" s="1" t="s">
        <v>43</v>
      </c>
      <c r="AA330" s="1">
        <v>2025</v>
      </c>
      <c r="AB330" s="1" t="s">
        <v>77</v>
      </c>
      <c r="AC330" s="1" t="s">
        <v>90</v>
      </c>
      <c r="AD330" s="1" t="s">
        <v>43</v>
      </c>
      <c r="AE330" s="1" t="s">
        <v>43</v>
      </c>
      <c r="AF330" s="1">
        <v>6</v>
      </c>
      <c r="AG330" s="1" t="s">
        <v>43</v>
      </c>
      <c r="AH330" s="2">
        <v>45261</v>
      </c>
    </row>
    <row r="331" spans="1:34" x14ac:dyDescent="0.3">
      <c r="A331" s="1">
        <v>2012921</v>
      </c>
      <c r="B331" s="1">
        <v>9.17</v>
      </c>
      <c r="C331" s="1">
        <v>99</v>
      </c>
      <c r="D331" s="1">
        <v>109</v>
      </c>
      <c r="E331" s="1" t="s">
        <v>43</v>
      </c>
      <c r="F331" s="1">
        <v>0</v>
      </c>
      <c r="G331" s="1" t="s">
        <v>1324</v>
      </c>
      <c r="H331" s="1" t="s">
        <v>1325</v>
      </c>
      <c r="I331" s="1" t="str">
        <f>HYPERLINK("https://www.systembolaget.se/produkt/vin/leone-2012921/","https://www.systembolaget.se/produkt/vin/leone-2012921/")</f>
        <v>https://www.systembolaget.se/produkt/vin/leone-2012921/</v>
      </c>
      <c r="J331" s="1">
        <v>16.809999999999999</v>
      </c>
      <c r="K331" s="1">
        <v>9.17</v>
      </c>
      <c r="L331" s="2">
        <v>45696</v>
      </c>
      <c r="M331" s="1" t="s">
        <v>1326</v>
      </c>
      <c r="N331" s="1">
        <v>1.36</v>
      </c>
      <c r="O331" s="1">
        <v>1000</v>
      </c>
      <c r="P331" s="1">
        <v>13.5</v>
      </c>
      <c r="Q331" s="1" t="s">
        <v>38</v>
      </c>
      <c r="R331" s="1" t="s">
        <v>52</v>
      </c>
      <c r="S331" s="1" t="s">
        <v>84</v>
      </c>
      <c r="T331" s="1"/>
      <c r="U331" s="1" t="s">
        <v>360</v>
      </c>
      <c r="V331" s="1"/>
      <c r="W331" s="1"/>
      <c r="X331" s="1" t="s">
        <v>1327</v>
      </c>
      <c r="Y331" s="1" t="s">
        <v>299</v>
      </c>
      <c r="Z331" s="1" t="s">
        <v>43</v>
      </c>
      <c r="AA331" s="1">
        <v>2023</v>
      </c>
      <c r="AB331" s="1" t="s">
        <v>181</v>
      </c>
      <c r="AC331" s="1" t="s">
        <v>90</v>
      </c>
      <c r="AD331" s="1" t="s">
        <v>43</v>
      </c>
      <c r="AE331" s="1" t="s">
        <v>43</v>
      </c>
      <c r="AF331" s="1">
        <v>2</v>
      </c>
      <c r="AG331" s="1" t="s">
        <v>43</v>
      </c>
      <c r="AH331" s="2">
        <v>45717</v>
      </c>
    </row>
    <row r="332" spans="1:34" x14ac:dyDescent="0.3">
      <c r="A332" s="1">
        <v>251307</v>
      </c>
      <c r="B332" s="1">
        <v>9.1300000000000008</v>
      </c>
      <c r="C332" s="1">
        <v>199</v>
      </c>
      <c r="D332" s="1">
        <v>219</v>
      </c>
      <c r="E332" s="1" t="s">
        <v>43</v>
      </c>
      <c r="F332" s="1">
        <v>0</v>
      </c>
      <c r="G332" s="1" t="s">
        <v>1328</v>
      </c>
      <c r="H332" s="1" t="s">
        <v>1329</v>
      </c>
      <c r="I332" s="1" t="str">
        <f>HYPERLINK("https://www.systembolaget.se/produkt/vin/fairview-s-la-capra-251307/","https://www.systembolaget.se/produkt/vin/fairview-s-la-capra-251307/")</f>
        <v>https://www.systembolaget.se/produkt/vin/fairview-s-la-capra-251307/</v>
      </c>
      <c r="J332" s="1">
        <v>9.1300000000000008</v>
      </c>
      <c r="K332" s="1">
        <v>9.1300000000000008</v>
      </c>
      <c r="L332" s="2">
        <v>45973</v>
      </c>
      <c r="M332" s="1" t="s">
        <v>1330</v>
      </c>
      <c r="N332" s="1">
        <v>1.36</v>
      </c>
      <c r="O332" s="1">
        <v>2000</v>
      </c>
      <c r="P332" s="1">
        <v>13.5</v>
      </c>
      <c r="Q332" s="1" t="s">
        <v>38</v>
      </c>
      <c r="R332" s="1" t="s">
        <v>39</v>
      </c>
      <c r="S332" s="1" t="s">
        <v>184</v>
      </c>
      <c r="T332" s="1"/>
      <c r="U332" s="1" t="s">
        <v>289</v>
      </c>
      <c r="V332" s="1" t="s">
        <v>290</v>
      </c>
      <c r="W332" s="1" t="s">
        <v>291</v>
      </c>
      <c r="X332" s="1" t="s">
        <v>1331</v>
      </c>
      <c r="Y332" s="1" t="s">
        <v>564</v>
      </c>
      <c r="Z332" s="1" t="s">
        <v>43</v>
      </c>
      <c r="AA332" s="1">
        <v>2025</v>
      </c>
      <c r="AB332" s="1" t="s">
        <v>654</v>
      </c>
      <c r="AC332" s="1" t="s">
        <v>90</v>
      </c>
      <c r="AD332" s="1" t="s">
        <v>43</v>
      </c>
      <c r="AE332" s="1" t="s">
        <v>43</v>
      </c>
      <c r="AF332" s="1">
        <v>2</v>
      </c>
      <c r="AG332" s="1" t="s">
        <v>46</v>
      </c>
      <c r="AH332" s="2">
        <v>45992</v>
      </c>
    </row>
    <row r="333" spans="1:34" x14ac:dyDescent="0.3">
      <c r="A333" s="1">
        <v>117015</v>
      </c>
      <c r="B333" s="1">
        <v>9.1300000000000008</v>
      </c>
      <c r="C333" s="1">
        <v>19.899999999999999</v>
      </c>
      <c r="D333" s="1">
        <v>21.9</v>
      </c>
      <c r="E333" s="1" t="s">
        <v>43</v>
      </c>
      <c r="F333" s="1">
        <v>0</v>
      </c>
      <c r="G333" s="1" t="s">
        <v>1332</v>
      </c>
      <c r="H333" s="1" t="s">
        <v>1333</v>
      </c>
      <c r="I333" s="1" t="str">
        <f>HYPERLINK("https://www.systembolaget.se/produkt/cider-blanddrycker/cidraie-117015/","https://www.systembolaget.se/produkt/cider-blanddrycker/cidraie-117015/")</f>
        <v>https://www.systembolaget.se/produkt/cider-blanddrycker/cidraie-117015/</v>
      </c>
      <c r="J333" s="1">
        <v>11.16</v>
      </c>
      <c r="K333" s="1">
        <v>9.1300000000000008</v>
      </c>
      <c r="L333" s="2">
        <v>45442</v>
      </c>
      <c r="M333" s="1" t="s">
        <v>1334</v>
      </c>
      <c r="N333" s="1">
        <v>0.83</v>
      </c>
      <c r="O333" s="1">
        <v>330</v>
      </c>
      <c r="P333" s="1">
        <v>5</v>
      </c>
      <c r="Q333" s="1" t="s">
        <v>157</v>
      </c>
      <c r="R333" s="1" t="s">
        <v>158</v>
      </c>
      <c r="S333" s="1" t="s">
        <v>1335</v>
      </c>
      <c r="T333" s="1"/>
      <c r="U333" s="1" t="s">
        <v>101</v>
      </c>
      <c r="V333" s="1"/>
      <c r="W333" s="1"/>
      <c r="X333" s="1" t="s">
        <v>1336</v>
      </c>
      <c r="Y333" s="1" t="s">
        <v>1337</v>
      </c>
      <c r="Z333" s="1" t="s">
        <v>46</v>
      </c>
      <c r="AA333" s="1"/>
      <c r="AB333" s="1" t="s">
        <v>114</v>
      </c>
      <c r="AC333" s="1" t="s">
        <v>90</v>
      </c>
      <c r="AD333" s="1" t="s">
        <v>43</v>
      </c>
      <c r="AE333" s="1" t="s">
        <v>43</v>
      </c>
      <c r="AF333" s="1">
        <v>31</v>
      </c>
      <c r="AG333" s="1" t="s">
        <v>43</v>
      </c>
      <c r="AH333" s="2">
        <v>45352</v>
      </c>
    </row>
    <row r="334" spans="1:34" x14ac:dyDescent="0.3">
      <c r="A334" s="1">
        <v>117035</v>
      </c>
      <c r="B334" s="1">
        <v>9.1300000000000008</v>
      </c>
      <c r="C334" s="1">
        <v>19.899999999999999</v>
      </c>
      <c r="D334" s="1">
        <v>21.9</v>
      </c>
      <c r="E334" s="1" t="s">
        <v>459</v>
      </c>
      <c r="F334" s="1">
        <v>0</v>
      </c>
      <c r="G334" s="1" t="s">
        <v>1332</v>
      </c>
      <c r="H334" s="1" t="s">
        <v>1333</v>
      </c>
      <c r="I334" s="1" t="str">
        <f>HYPERLINK("https://www.systembolaget.se/produkt/cider-blanddrycker/cidraie-117035/","https://www.systembolaget.se/produkt/cider-blanddrycker/cidraie-117035/")</f>
        <v>https://www.systembolaget.se/produkt/cider-blanddrycker/cidraie-117035/</v>
      </c>
      <c r="J334" s="1"/>
      <c r="K334" s="1">
        <v>9.1300000000000008</v>
      </c>
      <c r="L334" s="2">
        <v>46106</v>
      </c>
      <c r="M334" s="1" t="s">
        <v>1338</v>
      </c>
      <c r="N334" s="1">
        <v>0.83</v>
      </c>
      <c r="O334" s="1">
        <v>330</v>
      </c>
      <c r="P334" s="1">
        <v>5</v>
      </c>
      <c r="Q334" s="1" t="s">
        <v>157</v>
      </c>
      <c r="R334" s="1" t="s">
        <v>158</v>
      </c>
      <c r="S334" s="1" t="s">
        <v>1335</v>
      </c>
      <c r="T334" s="1"/>
      <c r="U334" s="1" t="s">
        <v>101</v>
      </c>
      <c r="V334" s="1"/>
      <c r="W334" s="1"/>
      <c r="X334" s="1" t="s">
        <v>1336</v>
      </c>
      <c r="Y334" s="1" t="s">
        <v>1337</v>
      </c>
      <c r="Z334" s="1" t="s">
        <v>46</v>
      </c>
      <c r="AA334" s="1"/>
      <c r="AB334" s="1" t="s">
        <v>114</v>
      </c>
      <c r="AC334" s="1" t="s">
        <v>90</v>
      </c>
      <c r="AD334" s="1" t="s">
        <v>43</v>
      </c>
      <c r="AE334" s="1" t="s">
        <v>43</v>
      </c>
      <c r="AF334" s="1">
        <v>35</v>
      </c>
      <c r="AG334" s="1" t="s">
        <v>43</v>
      </c>
      <c r="AH334" s="2">
        <v>46113</v>
      </c>
    </row>
    <row r="335" spans="1:34" x14ac:dyDescent="0.3">
      <c r="A335" s="1">
        <v>5194301</v>
      </c>
      <c r="B335" s="1">
        <v>9.1300000000000008</v>
      </c>
      <c r="C335" s="1">
        <v>199</v>
      </c>
      <c r="D335" s="1">
        <v>219</v>
      </c>
      <c r="E335" s="1" t="s">
        <v>43</v>
      </c>
      <c r="F335" s="1">
        <v>0</v>
      </c>
      <c r="G335" s="1" t="s">
        <v>1339</v>
      </c>
      <c r="H335" s="1" t="s">
        <v>1340</v>
      </c>
      <c r="I335" s="1" t="str">
        <f>HYPERLINK("https://www.systembolaget.se/produkt/vin/the-galvo-garage-5194301/","https://www.systembolaget.se/produkt/vin/the-galvo-garage-5194301/")</f>
        <v>https://www.systembolaget.se/produkt/vin/the-galvo-garage-5194301/</v>
      </c>
      <c r="J335" s="1">
        <v>9.1300000000000008</v>
      </c>
      <c r="K335" s="1">
        <v>9.1300000000000008</v>
      </c>
      <c r="L335" s="2">
        <v>45389</v>
      </c>
      <c r="M335" s="1" t="s">
        <v>1330</v>
      </c>
      <c r="N335" s="1">
        <v>0.55000000000000004</v>
      </c>
      <c r="O335" s="1">
        <v>750</v>
      </c>
      <c r="P335" s="1">
        <v>14.5</v>
      </c>
      <c r="Q335" s="1" t="s">
        <v>38</v>
      </c>
      <c r="R335" s="1" t="s">
        <v>52</v>
      </c>
      <c r="S335" s="1"/>
      <c r="T335" s="1"/>
      <c r="U335" s="1" t="s">
        <v>149</v>
      </c>
      <c r="V335" s="1" t="s">
        <v>150</v>
      </c>
      <c r="W335" s="1" t="s">
        <v>1341</v>
      </c>
      <c r="X335" s="1" t="s">
        <v>1342</v>
      </c>
      <c r="Y335" s="1" t="s">
        <v>219</v>
      </c>
      <c r="Z335" s="1" t="s">
        <v>43</v>
      </c>
      <c r="AA335" s="1">
        <v>2015</v>
      </c>
      <c r="AB335" s="1" t="s">
        <v>77</v>
      </c>
      <c r="AC335" s="1" t="s">
        <v>45</v>
      </c>
      <c r="AD335" s="1" t="s">
        <v>43</v>
      </c>
      <c r="AE335" s="1" t="s">
        <v>43</v>
      </c>
      <c r="AF335" s="1"/>
      <c r="AG335" s="1" t="s">
        <v>43</v>
      </c>
      <c r="AH335" s="2">
        <v>44320</v>
      </c>
    </row>
    <row r="336" spans="1:34" x14ac:dyDescent="0.3">
      <c r="A336" s="1">
        <v>7652301</v>
      </c>
      <c r="B336" s="1">
        <v>9.1300000000000008</v>
      </c>
      <c r="C336" s="1">
        <v>199</v>
      </c>
      <c r="D336" s="1">
        <v>219</v>
      </c>
      <c r="E336" s="1" t="s">
        <v>43</v>
      </c>
      <c r="F336" s="1">
        <v>0</v>
      </c>
      <c r="G336" s="1" t="s">
        <v>1343</v>
      </c>
      <c r="H336" s="1" t="s">
        <v>59</v>
      </c>
      <c r="I336" s="1" t="str">
        <f>HYPERLINK("https://www.systembolaget.se/produkt/vin/pet-nat-bianco-7652301/","https://www.systembolaget.se/produkt/vin/pet-nat-bianco-7652301/")</f>
        <v>https://www.systembolaget.se/produkt/vin/pet-nat-bianco-7652301/</v>
      </c>
      <c r="J336" s="1">
        <v>9.1300000000000008</v>
      </c>
      <c r="K336" s="1">
        <v>9.1300000000000008</v>
      </c>
      <c r="L336" s="2">
        <v>45389</v>
      </c>
      <c r="M336" s="1" t="s">
        <v>1330</v>
      </c>
      <c r="N336" s="1">
        <v>0.41</v>
      </c>
      <c r="O336" s="1">
        <v>750</v>
      </c>
      <c r="P336" s="1">
        <v>11</v>
      </c>
      <c r="Q336" s="1" t="s">
        <v>38</v>
      </c>
      <c r="R336" s="1" t="s">
        <v>61</v>
      </c>
      <c r="S336" s="1" t="s">
        <v>68</v>
      </c>
      <c r="T336" s="1"/>
      <c r="U336" s="1" t="s">
        <v>53</v>
      </c>
      <c r="V336" s="1" t="s">
        <v>63</v>
      </c>
      <c r="W336" s="1"/>
      <c r="X336" s="1" t="s">
        <v>59</v>
      </c>
      <c r="Y336" s="1" t="s">
        <v>64</v>
      </c>
      <c r="Z336" s="1" t="s">
        <v>46</v>
      </c>
      <c r="AA336" s="1">
        <v>2021</v>
      </c>
      <c r="AB336" s="1" t="s">
        <v>44</v>
      </c>
      <c r="AC336" s="1" t="s">
        <v>45</v>
      </c>
      <c r="AD336" s="1" t="s">
        <v>43</v>
      </c>
      <c r="AE336" s="1" t="s">
        <v>43</v>
      </c>
      <c r="AF336" s="1"/>
      <c r="AG336" s="1" t="s">
        <v>43</v>
      </c>
      <c r="AH336" s="2">
        <v>43605</v>
      </c>
    </row>
    <row r="337" spans="1:34" x14ac:dyDescent="0.3">
      <c r="A337" s="1">
        <v>7247501</v>
      </c>
      <c r="B337" s="1">
        <v>9.1300000000000008</v>
      </c>
      <c r="C337" s="1">
        <v>199</v>
      </c>
      <c r="D337" s="1">
        <v>219</v>
      </c>
      <c r="E337" s="1" t="s">
        <v>459</v>
      </c>
      <c r="F337" s="1">
        <v>0</v>
      </c>
      <c r="G337" s="1" t="s">
        <v>1344</v>
      </c>
      <c r="H337" s="1" t="s">
        <v>1345</v>
      </c>
      <c r="I337" s="1" t="str">
        <f>HYPERLINK("https://www.systembolaget.se/produkt/vin/pure-7247501/","https://www.systembolaget.se/produkt/vin/pure-7247501/")</f>
        <v>https://www.systembolaget.se/produkt/vin/pure-7247501/</v>
      </c>
      <c r="J337" s="1">
        <v>9.1300000000000008</v>
      </c>
      <c r="K337" s="1">
        <v>9.1300000000000008</v>
      </c>
      <c r="L337" s="2">
        <v>45510</v>
      </c>
      <c r="M337" s="1" t="s">
        <v>1346</v>
      </c>
      <c r="N337" s="1">
        <v>0.47</v>
      </c>
      <c r="O337" s="1">
        <v>750</v>
      </c>
      <c r="P337" s="1">
        <v>12.5</v>
      </c>
      <c r="Q337" s="1" t="s">
        <v>38</v>
      </c>
      <c r="R337" s="1" t="s">
        <v>80</v>
      </c>
      <c r="S337" s="1"/>
      <c r="T337" s="1"/>
      <c r="U337" s="1" t="s">
        <v>101</v>
      </c>
      <c r="V337" s="1" t="s">
        <v>331</v>
      </c>
      <c r="W337" s="1" t="s">
        <v>1347</v>
      </c>
      <c r="X337" s="1" t="s">
        <v>1345</v>
      </c>
      <c r="Y337" s="1" t="s">
        <v>1348</v>
      </c>
      <c r="Z337" s="1" t="s">
        <v>43</v>
      </c>
      <c r="AA337" s="1">
        <v>2024</v>
      </c>
      <c r="AB337" s="1" t="s">
        <v>44</v>
      </c>
      <c r="AC337" s="1" t="s">
        <v>45</v>
      </c>
      <c r="AD337" s="1" t="s">
        <v>43</v>
      </c>
      <c r="AE337" s="1" t="s">
        <v>43</v>
      </c>
      <c r="AF337" s="1">
        <v>2</v>
      </c>
      <c r="AG337" s="1" t="s">
        <v>43</v>
      </c>
      <c r="AH337" s="2">
        <v>43206</v>
      </c>
    </row>
    <row r="338" spans="1:34" x14ac:dyDescent="0.3">
      <c r="A338" s="1">
        <v>7029201</v>
      </c>
      <c r="B338" s="1">
        <v>9.1300000000000008</v>
      </c>
      <c r="C338" s="1">
        <v>199</v>
      </c>
      <c r="D338" s="1">
        <v>219</v>
      </c>
      <c r="E338" s="1" t="s">
        <v>43</v>
      </c>
      <c r="F338" s="1">
        <v>0</v>
      </c>
      <c r="G338" s="1" t="s">
        <v>1349</v>
      </c>
      <c r="H338" s="1" t="s">
        <v>1350</v>
      </c>
      <c r="I338" s="1" t="str">
        <f>HYPERLINK("https://www.systembolaget.se/produkt/vin/paul-jaboulet-7029201/","https://www.systembolaget.se/produkt/vin/paul-jaboulet-7029201/")</f>
        <v>https://www.systembolaget.se/produkt/vin/paul-jaboulet-7029201/</v>
      </c>
      <c r="J338" s="1">
        <v>9.1300000000000008</v>
      </c>
      <c r="K338" s="1">
        <v>9.1300000000000008</v>
      </c>
      <c r="L338" s="2">
        <v>45429</v>
      </c>
      <c r="M338" s="1" t="s">
        <v>1351</v>
      </c>
      <c r="N338" s="1">
        <v>0.49</v>
      </c>
      <c r="O338" s="1">
        <v>750</v>
      </c>
      <c r="P338" s="1">
        <v>13</v>
      </c>
      <c r="Q338" s="1" t="s">
        <v>38</v>
      </c>
      <c r="R338" s="1" t="s">
        <v>52</v>
      </c>
      <c r="S338" s="1"/>
      <c r="T338" s="1"/>
      <c r="U338" s="1" t="s">
        <v>101</v>
      </c>
      <c r="V338" s="1" t="s">
        <v>474</v>
      </c>
      <c r="W338" s="1" t="s">
        <v>472</v>
      </c>
      <c r="X338" s="1" t="s">
        <v>1352</v>
      </c>
      <c r="Y338" s="1" t="s">
        <v>407</v>
      </c>
      <c r="Z338" s="1" t="s">
        <v>46</v>
      </c>
      <c r="AA338" s="1">
        <v>2023</v>
      </c>
      <c r="AB338" s="1" t="s">
        <v>44</v>
      </c>
      <c r="AC338" s="1" t="s">
        <v>45</v>
      </c>
      <c r="AD338" s="1" t="s">
        <v>43</v>
      </c>
      <c r="AE338" s="1" t="s">
        <v>43</v>
      </c>
      <c r="AF338" s="1"/>
      <c r="AG338" s="1" t="s">
        <v>43</v>
      </c>
      <c r="AH338" s="2">
        <v>40695</v>
      </c>
    </row>
    <row r="339" spans="1:34" x14ac:dyDescent="0.3">
      <c r="A339" s="1">
        <v>7946501</v>
      </c>
      <c r="B339" s="1">
        <v>9.1300000000000008</v>
      </c>
      <c r="C339" s="1">
        <v>199</v>
      </c>
      <c r="D339" s="1">
        <v>219</v>
      </c>
      <c r="E339" s="1" t="s">
        <v>43</v>
      </c>
      <c r="F339" s="1">
        <v>0</v>
      </c>
      <c r="G339" s="1" t="s">
        <v>886</v>
      </c>
      <c r="H339" s="1" t="s">
        <v>1353</v>
      </c>
      <c r="I339" s="1" t="str">
        <f>HYPERLINK("https://www.systembolaget.se/produkt/vin/san-salvatore-7946501/","https://www.systembolaget.se/produkt/vin/san-salvatore-7946501/")</f>
        <v>https://www.systembolaget.se/produkt/vin/san-salvatore-7946501/</v>
      </c>
      <c r="J339" s="1">
        <v>9.1300000000000008</v>
      </c>
      <c r="K339" s="1">
        <v>9.1300000000000008</v>
      </c>
      <c r="L339" s="2">
        <v>45762</v>
      </c>
      <c r="M339" s="1" t="s">
        <v>1330</v>
      </c>
      <c r="N339" s="1">
        <v>0.55000000000000004</v>
      </c>
      <c r="O339" s="1">
        <v>750</v>
      </c>
      <c r="P339" s="1">
        <v>14.5</v>
      </c>
      <c r="Q339" s="1" t="s">
        <v>38</v>
      </c>
      <c r="R339" s="1" t="s">
        <v>52</v>
      </c>
      <c r="S339" s="1"/>
      <c r="T339" s="1"/>
      <c r="U339" s="1" t="s">
        <v>53</v>
      </c>
      <c r="V339" s="1"/>
      <c r="W339" s="1"/>
      <c r="X339" s="1" t="s">
        <v>889</v>
      </c>
      <c r="Y339" s="1" t="s">
        <v>423</v>
      </c>
      <c r="Z339" s="1" t="s">
        <v>43</v>
      </c>
      <c r="AA339" s="1">
        <v>2022</v>
      </c>
      <c r="AB339" s="1" t="s">
        <v>44</v>
      </c>
      <c r="AC339" s="1" t="s">
        <v>45</v>
      </c>
      <c r="AD339" s="1" t="s">
        <v>43</v>
      </c>
      <c r="AE339" s="1" t="s">
        <v>43</v>
      </c>
      <c r="AF339" s="1"/>
      <c r="AG339" s="1" t="s">
        <v>43</v>
      </c>
      <c r="AH339" s="2">
        <v>45769</v>
      </c>
    </row>
    <row r="340" spans="1:34" x14ac:dyDescent="0.3">
      <c r="A340" s="1">
        <v>8336801</v>
      </c>
      <c r="B340" s="1">
        <v>9.1300000000000008</v>
      </c>
      <c r="C340" s="1">
        <v>199</v>
      </c>
      <c r="D340" s="1">
        <v>219</v>
      </c>
      <c r="E340" s="1" t="s">
        <v>43</v>
      </c>
      <c r="F340" s="1">
        <v>0</v>
      </c>
      <c r="G340" s="1" t="s">
        <v>1354</v>
      </c>
      <c r="H340" s="1" t="s">
        <v>1355</v>
      </c>
      <c r="I340" s="1" t="str">
        <f>HYPERLINK("https://www.systembolaget.se/produkt/vin/san-leonino-8336801/","https://www.systembolaget.se/produkt/vin/san-leonino-8336801/")</f>
        <v>https://www.systembolaget.se/produkt/vin/san-leonino-8336801/</v>
      </c>
      <c r="J340" s="1">
        <v>9.1300000000000008</v>
      </c>
      <c r="K340" s="1">
        <v>9.1300000000000008</v>
      </c>
      <c r="L340" s="2">
        <v>45389</v>
      </c>
      <c r="M340" s="1" t="s">
        <v>1356</v>
      </c>
      <c r="N340" s="1">
        <v>0.53</v>
      </c>
      <c r="O340" s="1">
        <v>750</v>
      </c>
      <c r="P340" s="1">
        <v>14</v>
      </c>
      <c r="Q340" s="1" t="s">
        <v>38</v>
      </c>
      <c r="R340" s="1" t="s">
        <v>52</v>
      </c>
      <c r="S340" s="1"/>
      <c r="T340" s="1"/>
      <c r="U340" s="1" t="s">
        <v>53</v>
      </c>
      <c r="V340" s="1" t="s">
        <v>63</v>
      </c>
      <c r="W340" s="1" t="s">
        <v>1357</v>
      </c>
      <c r="X340" s="1" t="s">
        <v>1358</v>
      </c>
      <c r="Y340" s="1" t="s">
        <v>180</v>
      </c>
      <c r="Z340" s="1" t="s">
        <v>43</v>
      </c>
      <c r="AA340" s="1">
        <v>2019</v>
      </c>
      <c r="AB340" s="1" t="s">
        <v>44</v>
      </c>
      <c r="AC340" s="1" t="s">
        <v>45</v>
      </c>
      <c r="AD340" s="1" t="s">
        <v>43</v>
      </c>
      <c r="AE340" s="1" t="s">
        <v>43</v>
      </c>
      <c r="AF340" s="1"/>
      <c r="AG340" s="1" t="s">
        <v>43</v>
      </c>
      <c r="AH340" s="2">
        <v>35948</v>
      </c>
    </row>
    <row r="341" spans="1:34" x14ac:dyDescent="0.3">
      <c r="A341" s="1">
        <v>8677501</v>
      </c>
      <c r="B341" s="1">
        <v>9.1199999999999992</v>
      </c>
      <c r="C341" s="1">
        <v>299</v>
      </c>
      <c r="D341" s="1">
        <v>329</v>
      </c>
      <c r="E341" s="1" t="s">
        <v>43</v>
      </c>
      <c r="F341" s="1">
        <v>0</v>
      </c>
      <c r="G341" s="1" t="s">
        <v>1359</v>
      </c>
      <c r="H341" s="1" t="s">
        <v>1360</v>
      </c>
      <c r="I341" s="1" t="str">
        <f>HYPERLINK("https://www.systembolaget.se/produkt/sprit/planteray-8677501/","https://www.systembolaget.se/produkt/sprit/planteray-8677501/")</f>
        <v>https://www.systembolaget.se/produkt/sprit/planteray-8677501/</v>
      </c>
      <c r="J341" s="1">
        <v>9.1199999999999992</v>
      </c>
      <c r="K341" s="1">
        <v>9.1199999999999992</v>
      </c>
      <c r="L341" s="2">
        <v>45828</v>
      </c>
      <c r="M341" s="1" t="s">
        <v>1361</v>
      </c>
      <c r="N341" s="1">
        <v>0.96</v>
      </c>
      <c r="O341" s="1">
        <v>700</v>
      </c>
      <c r="P341" s="1">
        <v>41.2</v>
      </c>
      <c r="Q341" s="1" t="s">
        <v>308</v>
      </c>
      <c r="R341" s="1" t="s">
        <v>908</v>
      </c>
      <c r="S341" s="1" t="s">
        <v>1362</v>
      </c>
      <c r="T341" s="1"/>
      <c r="U341" s="1" t="s">
        <v>392</v>
      </c>
      <c r="V341" s="1"/>
      <c r="W341" s="1"/>
      <c r="X341" s="1" t="s">
        <v>1359</v>
      </c>
      <c r="Y341" s="1" t="s">
        <v>285</v>
      </c>
      <c r="Z341" s="1" t="s">
        <v>43</v>
      </c>
      <c r="AA341" s="1"/>
      <c r="AB341" s="1" t="s">
        <v>44</v>
      </c>
      <c r="AC341" s="1" t="s">
        <v>90</v>
      </c>
      <c r="AD341" s="1" t="s">
        <v>43</v>
      </c>
      <c r="AE341" s="1" t="s">
        <v>43</v>
      </c>
      <c r="AF341" s="1">
        <v>9</v>
      </c>
      <c r="AG341" s="1" t="s">
        <v>43</v>
      </c>
      <c r="AH341" s="2">
        <v>41214</v>
      </c>
    </row>
    <row r="342" spans="1:34" x14ac:dyDescent="0.3">
      <c r="A342" s="1">
        <v>7346001</v>
      </c>
      <c r="B342" s="1">
        <v>9.1199999999999992</v>
      </c>
      <c r="C342" s="1">
        <v>299</v>
      </c>
      <c r="D342" s="1">
        <v>329</v>
      </c>
      <c r="E342" s="1" t="s">
        <v>43</v>
      </c>
      <c r="F342" s="1">
        <v>6</v>
      </c>
      <c r="G342" s="1" t="s">
        <v>1363</v>
      </c>
      <c r="H342" s="1" t="s">
        <v>1364</v>
      </c>
      <c r="I342" s="1" t="str">
        <f>HYPERLINK("https://www.systembolaget.se/produkt/vin/peter-falke-7346001/","https://www.systembolaget.se/produkt/vin/peter-falke-7346001/")</f>
        <v>https://www.systembolaget.se/produkt/vin/peter-falke-7346001/</v>
      </c>
      <c r="J342" s="1">
        <v>9.1199999999999992</v>
      </c>
      <c r="K342" s="1">
        <v>9.1199999999999992</v>
      </c>
      <c r="L342" s="2">
        <v>45389</v>
      </c>
      <c r="M342" s="1" t="s">
        <v>1361</v>
      </c>
      <c r="N342" s="1">
        <v>0.36</v>
      </c>
      <c r="O342" s="1">
        <v>750</v>
      </c>
      <c r="P342" s="1">
        <v>14.5</v>
      </c>
      <c r="Q342" s="1" t="s">
        <v>38</v>
      </c>
      <c r="R342" s="1" t="s">
        <v>52</v>
      </c>
      <c r="S342" s="1"/>
      <c r="T342" s="1"/>
      <c r="U342" s="1" t="s">
        <v>289</v>
      </c>
      <c r="V342" s="1" t="s">
        <v>290</v>
      </c>
      <c r="W342" s="1" t="s">
        <v>291</v>
      </c>
      <c r="X342" s="1" t="s">
        <v>599</v>
      </c>
      <c r="Y342" s="1" t="s">
        <v>600</v>
      </c>
      <c r="Z342" s="1" t="s">
        <v>43</v>
      </c>
      <c r="AA342" s="1">
        <v>2018</v>
      </c>
      <c r="AB342" s="1" t="s">
        <v>44</v>
      </c>
      <c r="AC342" s="1" t="s">
        <v>45</v>
      </c>
      <c r="AD342" s="1" t="s">
        <v>43</v>
      </c>
      <c r="AE342" s="1" t="s">
        <v>43</v>
      </c>
      <c r="AF342" s="1"/>
      <c r="AG342" s="1" t="s">
        <v>43</v>
      </c>
      <c r="AH342" s="2">
        <v>45350</v>
      </c>
    </row>
    <row r="343" spans="1:34" x14ac:dyDescent="0.3">
      <c r="A343" s="1">
        <v>3125735</v>
      </c>
      <c r="B343" s="1">
        <v>9.1199999999999992</v>
      </c>
      <c r="C343" s="1">
        <v>29.9</v>
      </c>
      <c r="D343" s="1">
        <v>32.9</v>
      </c>
      <c r="E343" s="1" t="s">
        <v>43</v>
      </c>
      <c r="F343" s="1">
        <v>0</v>
      </c>
      <c r="G343" s="1" t="s">
        <v>104</v>
      </c>
      <c r="H343" s="1" t="s">
        <v>1365</v>
      </c>
      <c r="I343" s="1" t="str">
        <f>HYPERLINK("https://www.systembolaget.se/produkt/ol/good-guys-brew-3125735/","https://www.systembolaget.se/produkt/ol/good-guys-brew-3125735/")</f>
        <v>https://www.systembolaget.se/produkt/ol/good-guys-brew-3125735/</v>
      </c>
      <c r="J343" s="1"/>
      <c r="K343" s="1">
        <v>9.1199999999999992</v>
      </c>
      <c r="L343" s="2">
        <v>46216</v>
      </c>
      <c r="M343" s="1" t="s">
        <v>1366</v>
      </c>
      <c r="N343" s="1">
        <v>0.66</v>
      </c>
      <c r="O343" s="1">
        <v>330</v>
      </c>
      <c r="P343" s="1">
        <v>6</v>
      </c>
      <c r="Q343" s="1" t="s">
        <v>107</v>
      </c>
      <c r="R343" s="1" t="s">
        <v>207</v>
      </c>
      <c r="S343" s="1" t="s">
        <v>208</v>
      </c>
      <c r="T343" s="1"/>
      <c r="U343" s="1" t="s">
        <v>110</v>
      </c>
      <c r="V343" s="1" t="s">
        <v>111</v>
      </c>
      <c r="W343" s="1" t="s">
        <v>112</v>
      </c>
      <c r="X343" s="1" t="s">
        <v>104</v>
      </c>
      <c r="Y343" s="1" t="s">
        <v>113</v>
      </c>
      <c r="Z343" s="1" t="s">
        <v>43</v>
      </c>
      <c r="AA343" s="1"/>
      <c r="AB343" s="1" t="s">
        <v>114</v>
      </c>
      <c r="AC343" s="1" t="s">
        <v>115</v>
      </c>
      <c r="AD343" s="1" t="s">
        <v>43</v>
      </c>
      <c r="AE343" s="1" t="s">
        <v>43</v>
      </c>
      <c r="AF343" s="1"/>
      <c r="AG343" s="1" t="s">
        <v>43</v>
      </c>
      <c r="AH343" s="2">
        <v>46237</v>
      </c>
    </row>
    <row r="344" spans="1:34" x14ac:dyDescent="0.3">
      <c r="A344" s="1">
        <v>34001</v>
      </c>
      <c r="B344" s="1">
        <v>9.1199999999999992</v>
      </c>
      <c r="C344" s="1">
        <v>299</v>
      </c>
      <c r="D344" s="1">
        <v>329</v>
      </c>
      <c r="E344" s="1" t="s">
        <v>43</v>
      </c>
      <c r="F344" s="1">
        <v>0</v>
      </c>
      <c r="G344" s="1" t="s">
        <v>1367</v>
      </c>
      <c r="H344" s="1"/>
      <c r="I344" s="1" t="str">
        <f>HYPERLINK("https://www.systembolaget.se/produkt/sprit/cognac-bossard-vs-34001/","https://www.systembolaget.se/produkt/sprit/cognac-bossard-vs-34001/")</f>
        <v>https://www.systembolaget.se/produkt/sprit/cognac-bossard-vs-34001/</v>
      </c>
      <c r="J344" s="1">
        <v>9.1199999999999992</v>
      </c>
      <c r="K344" s="1">
        <v>9.1199999999999992</v>
      </c>
      <c r="L344" s="2">
        <v>45389</v>
      </c>
      <c r="M344" s="1" t="s">
        <v>1361</v>
      </c>
      <c r="N344" s="1">
        <v>0.94</v>
      </c>
      <c r="O344" s="1">
        <v>700</v>
      </c>
      <c r="P344" s="1">
        <v>40</v>
      </c>
      <c r="Q344" s="1" t="s">
        <v>308</v>
      </c>
      <c r="R344" s="1" t="s">
        <v>1368</v>
      </c>
      <c r="S344" s="1" t="s">
        <v>1369</v>
      </c>
      <c r="T344" s="1"/>
      <c r="U344" s="1" t="s">
        <v>101</v>
      </c>
      <c r="V344" s="1" t="s">
        <v>1368</v>
      </c>
      <c r="W344" s="1"/>
      <c r="X344" s="1" t="s">
        <v>1370</v>
      </c>
      <c r="Y344" s="1" t="s">
        <v>121</v>
      </c>
      <c r="Z344" s="1" t="s">
        <v>43</v>
      </c>
      <c r="AA344" s="1"/>
      <c r="AB344" s="1" t="s">
        <v>44</v>
      </c>
      <c r="AC344" s="1" t="s">
        <v>90</v>
      </c>
      <c r="AD344" s="1" t="s">
        <v>43</v>
      </c>
      <c r="AE344" s="1" t="s">
        <v>43</v>
      </c>
      <c r="AF344" s="1">
        <v>13</v>
      </c>
      <c r="AG344" s="1" t="s">
        <v>43</v>
      </c>
      <c r="AH344" s="2">
        <v>42339</v>
      </c>
    </row>
    <row r="345" spans="1:34" x14ac:dyDescent="0.3">
      <c r="A345" s="1">
        <v>56101</v>
      </c>
      <c r="B345" s="1">
        <v>9.11</v>
      </c>
      <c r="C345" s="1">
        <v>499</v>
      </c>
      <c r="D345" s="1">
        <v>549</v>
      </c>
      <c r="E345" s="1" t="s">
        <v>43</v>
      </c>
      <c r="F345" s="1">
        <v>0</v>
      </c>
      <c r="G345" s="1" t="s">
        <v>1371</v>
      </c>
      <c r="H345" s="1" t="s">
        <v>1372</v>
      </c>
      <c r="I345" s="1" t="str">
        <f>HYPERLINK("https://www.systembolaget.se/produkt/sprit/easy-rider-56101/","https://www.systembolaget.se/produkt/sprit/easy-rider-56101/")</f>
        <v>https://www.systembolaget.se/produkt/sprit/easy-rider-56101/</v>
      </c>
      <c r="J345" s="1">
        <v>9.11</v>
      </c>
      <c r="K345" s="1">
        <v>9.11</v>
      </c>
      <c r="L345" s="2">
        <v>45696</v>
      </c>
      <c r="M345" s="1" t="s">
        <v>1373</v>
      </c>
      <c r="N345" s="1">
        <v>0.7</v>
      </c>
      <c r="O345" s="1">
        <v>700</v>
      </c>
      <c r="P345" s="1">
        <v>50</v>
      </c>
      <c r="Q345" s="1" t="s">
        <v>308</v>
      </c>
      <c r="R345" s="1" t="s">
        <v>309</v>
      </c>
      <c r="S345" s="1" t="s">
        <v>1012</v>
      </c>
      <c r="T345" s="1"/>
      <c r="U345" s="1" t="s">
        <v>73</v>
      </c>
      <c r="V345" s="1" t="s">
        <v>1374</v>
      </c>
      <c r="W345" s="1"/>
      <c r="X345" s="1" t="s">
        <v>1375</v>
      </c>
      <c r="Y345" s="1" t="s">
        <v>239</v>
      </c>
      <c r="Z345" s="1" t="s">
        <v>43</v>
      </c>
      <c r="AA345" s="1"/>
      <c r="AB345" s="1" t="s">
        <v>44</v>
      </c>
      <c r="AC345" s="1" t="s">
        <v>90</v>
      </c>
      <c r="AD345" s="1" t="s">
        <v>43</v>
      </c>
      <c r="AE345" s="1" t="s">
        <v>43</v>
      </c>
      <c r="AF345" s="1">
        <v>2</v>
      </c>
      <c r="AG345" s="1" t="s">
        <v>43</v>
      </c>
      <c r="AH345" s="2">
        <v>45717</v>
      </c>
    </row>
    <row r="346" spans="1:34" x14ac:dyDescent="0.3">
      <c r="A346" s="1">
        <v>3178214</v>
      </c>
      <c r="B346" s="1">
        <v>9.11</v>
      </c>
      <c r="C346" s="1">
        <v>39.9</v>
      </c>
      <c r="D346" s="1">
        <v>43.9</v>
      </c>
      <c r="E346" s="1" t="s">
        <v>43</v>
      </c>
      <c r="F346" s="1">
        <v>0</v>
      </c>
      <c r="G346" s="1" t="s">
        <v>1376</v>
      </c>
      <c r="H346" s="1" t="s">
        <v>1377</v>
      </c>
      <c r="I346" s="1" t="str">
        <f>HYPERLINK("https://www.systembolaget.se/produkt/ol/crooked-moon-3178214/","https://www.systembolaget.se/produkt/ol/crooked-moon-3178214/")</f>
        <v>https://www.systembolaget.se/produkt/ol/crooked-moon-3178214/</v>
      </c>
      <c r="J346" s="1">
        <v>11.14</v>
      </c>
      <c r="K346" s="1">
        <v>9.11</v>
      </c>
      <c r="L346" s="2">
        <v>45915</v>
      </c>
      <c r="M346" s="1" t="s">
        <v>1378</v>
      </c>
      <c r="N346" s="1">
        <v>0.9</v>
      </c>
      <c r="O346" s="1">
        <v>440</v>
      </c>
      <c r="P346" s="1">
        <v>8.1999999999999993</v>
      </c>
      <c r="Q346" s="1" t="s">
        <v>107</v>
      </c>
      <c r="R346" s="1" t="s">
        <v>108</v>
      </c>
      <c r="S346" s="1" t="s">
        <v>532</v>
      </c>
      <c r="T346" s="1"/>
      <c r="U346" s="1" t="s">
        <v>110</v>
      </c>
      <c r="V346" s="1" t="s">
        <v>694</v>
      </c>
      <c r="W346" s="1" t="s">
        <v>695</v>
      </c>
      <c r="X346" s="1" t="s">
        <v>1379</v>
      </c>
      <c r="Y346" s="1" t="s">
        <v>1379</v>
      </c>
      <c r="Z346" s="1" t="s">
        <v>43</v>
      </c>
      <c r="AA346" s="1"/>
      <c r="AB346" s="1" t="s">
        <v>114</v>
      </c>
      <c r="AC346" s="1" t="s">
        <v>115</v>
      </c>
      <c r="AD346" s="1" t="s">
        <v>43</v>
      </c>
      <c r="AE346" s="1" t="s">
        <v>43</v>
      </c>
      <c r="AF346" s="1"/>
      <c r="AG346" s="1" t="s">
        <v>43</v>
      </c>
      <c r="AH346" s="2">
        <v>45999</v>
      </c>
    </row>
    <row r="347" spans="1:34" x14ac:dyDescent="0.3">
      <c r="A347" s="1">
        <v>3095914</v>
      </c>
      <c r="B347" s="1">
        <v>9.11</v>
      </c>
      <c r="C347" s="1">
        <v>39.9</v>
      </c>
      <c r="D347" s="1">
        <v>43.9</v>
      </c>
      <c r="E347" s="1" t="s">
        <v>43</v>
      </c>
      <c r="F347" s="1">
        <v>0</v>
      </c>
      <c r="G347" s="1" t="s">
        <v>1376</v>
      </c>
      <c r="H347" s="1" t="s">
        <v>1380</v>
      </c>
      <c r="I347" s="1" t="str">
        <f>HYPERLINK("https://www.systembolaget.se/produkt/ol/crooked-moon-3095914/","https://www.systembolaget.se/produkt/ol/crooked-moon-3095914/")</f>
        <v>https://www.systembolaget.se/produkt/ol/crooked-moon-3095914/</v>
      </c>
      <c r="J347" s="1">
        <v>20.04</v>
      </c>
      <c r="K347" s="1">
        <v>9.11</v>
      </c>
      <c r="L347" s="2">
        <v>45915</v>
      </c>
      <c r="M347" s="1" t="s">
        <v>1381</v>
      </c>
      <c r="N347" s="1">
        <v>0.9</v>
      </c>
      <c r="O347" s="1">
        <v>440</v>
      </c>
      <c r="P347" s="1">
        <v>8.1999999999999993</v>
      </c>
      <c r="Q347" s="1" t="s">
        <v>107</v>
      </c>
      <c r="R347" s="1" t="s">
        <v>108</v>
      </c>
      <c r="S347" s="1" t="s">
        <v>532</v>
      </c>
      <c r="T347" s="1"/>
      <c r="U347" s="1" t="s">
        <v>110</v>
      </c>
      <c r="V347" s="1" t="s">
        <v>694</v>
      </c>
      <c r="W347" s="1" t="s">
        <v>695</v>
      </c>
      <c r="X347" s="1" t="s">
        <v>1379</v>
      </c>
      <c r="Y347" s="1" t="s">
        <v>1379</v>
      </c>
      <c r="Z347" s="1" t="s">
        <v>43</v>
      </c>
      <c r="AA347" s="1"/>
      <c r="AB347" s="1" t="s">
        <v>114</v>
      </c>
      <c r="AC347" s="1" t="s">
        <v>115</v>
      </c>
      <c r="AD347" s="1" t="s">
        <v>43</v>
      </c>
      <c r="AE347" s="1" t="s">
        <v>43</v>
      </c>
      <c r="AF347" s="1"/>
      <c r="AG347" s="1" t="s">
        <v>43</v>
      </c>
      <c r="AH347" s="2">
        <v>45999</v>
      </c>
    </row>
    <row r="348" spans="1:34" x14ac:dyDescent="0.3">
      <c r="A348" s="1">
        <v>5083001</v>
      </c>
      <c r="B348" s="1">
        <v>9.11</v>
      </c>
      <c r="C348" s="1">
        <v>499</v>
      </c>
      <c r="D348" s="1">
        <v>549</v>
      </c>
      <c r="E348" s="1" t="s">
        <v>43</v>
      </c>
      <c r="F348" s="1">
        <v>0</v>
      </c>
      <c r="G348" s="1" t="s">
        <v>1382</v>
      </c>
      <c r="H348" s="1" t="s">
        <v>1383</v>
      </c>
      <c r="I348" s="1" t="str">
        <f>HYPERLINK("https://www.systembolaget.se/produkt/vin/domaine-berthet-bondet-5083001/","https://www.systembolaget.se/produkt/vin/domaine-berthet-bondet-5083001/")</f>
        <v>https://www.systembolaget.se/produkt/vin/domaine-berthet-bondet-5083001/</v>
      </c>
      <c r="J348" s="1">
        <v>43.23</v>
      </c>
      <c r="K348" s="1">
        <v>9.11</v>
      </c>
      <c r="L348" s="2">
        <v>45432</v>
      </c>
      <c r="M348" s="1" t="s">
        <v>1384</v>
      </c>
      <c r="N348" s="1">
        <v>0.18</v>
      </c>
      <c r="O348" s="1">
        <v>620</v>
      </c>
      <c r="P348" s="1">
        <v>14.5</v>
      </c>
      <c r="Q348" s="1" t="s">
        <v>38</v>
      </c>
      <c r="R348" s="1" t="s">
        <v>39</v>
      </c>
      <c r="S348" s="1"/>
      <c r="T348" s="1"/>
      <c r="U348" s="1" t="s">
        <v>101</v>
      </c>
      <c r="V348" s="1" t="s">
        <v>1385</v>
      </c>
      <c r="W348" s="1" t="s">
        <v>1383</v>
      </c>
      <c r="X348" s="1" t="s">
        <v>1386</v>
      </c>
      <c r="Y348" s="1" t="s">
        <v>407</v>
      </c>
      <c r="Z348" s="1" t="s">
        <v>46</v>
      </c>
      <c r="AA348" s="1">
        <v>2016</v>
      </c>
      <c r="AB348" s="1" t="s">
        <v>44</v>
      </c>
      <c r="AC348" s="1" t="s">
        <v>45</v>
      </c>
      <c r="AD348" s="1" t="s">
        <v>43</v>
      </c>
      <c r="AE348" s="1" t="s">
        <v>43</v>
      </c>
      <c r="AF348" s="1"/>
      <c r="AG348" s="1" t="s">
        <v>43</v>
      </c>
      <c r="AH348" s="2">
        <v>44964</v>
      </c>
    </row>
    <row r="349" spans="1:34" x14ac:dyDescent="0.3">
      <c r="A349" s="1">
        <v>7290901</v>
      </c>
      <c r="B349" s="1">
        <v>9.11</v>
      </c>
      <c r="C349" s="1">
        <v>499</v>
      </c>
      <c r="D349" s="1">
        <v>549</v>
      </c>
      <c r="E349" s="1" t="s">
        <v>43</v>
      </c>
      <c r="F349" s="1">
        <v>0</v>
      </c>
      <c r="G349" s="1" t="s">
        <v>1387</v>
      </c>
      <c r="H349" s="1" t="s">
        <v>1064</v>
      </c>
      <c r="I349" s="1" t="str">
        <f>HYPERLINK("https://www.systembolaget.se/produkt/vin/saint-romain-blanc-7290901/","https://www.systembolaget.se/produkt/vin/saint-romain-blanc-7290901/")</f>
        <v>https://www.systembolaget.se/produkt/vin/saint-romain-blanc-7290901/</v>
      </c>
      <c r="J349" s="1">
        <v>5.67</v>
      </c>
      <c r="K349" s="1">
        <v>9.11</v>
      </c>
      <c r="L349" s="2">
        <v>45497</v>
      </c>
      <c r="M349" s="1" t="s">
        <v>1388</v>
      </c>
      <c r="N349" s="1">
        <v>0.2</v>
      </c>
      <c r="O349" s="1">
        <v>750</v>
      </c>
      <c r="P349" s="1">
        <v>13</v>
      </c>
      <c r="Q349" s="1" t="s">
        <v>38</v>
      </c>
      <c r="R349" s="1" t="s">
        <v>39</v>
      </c>
      <c r="S349" s="1"/>
      <c r="T349" s="1"/>
      <c r="U349" s="1" t="s">
        <v>101</v>
      </c>
      <c r="V349" s="1" t="s">
        <v>142</v>
      </c>
      <c r="W349" s="1" t="s">
        <v>143</v>
      </c>
      <c r="X349" s="1" t="s">
        <v>1064</v>
      </c>
      <c r="Y349" s="1" t="s">
        <v>678</v>
      </c>
      <c r="Z349" s="1" t="s">
        <v>43</v>
      </c>
      <c r="AA349" s="1">
        <v>2022</v>
      </c>
      <c r="AB349" s="1" t="s">
        <v>44</v>
      </c>
      <c r="AC349" s="1" t="s">
        <v>45</v>
      </c>
      <c r="AD349" s="1" t="s">
        <v>43</v>
      </c>
      <c r="AE349" s="1" t="s">
        <v>43</v>
      </c>
      <c r="AF349" s="1"/>
      <c r="AG349" s="1" t="s">
        <v>43</v>
      </c>
      <c r="AH349" s="2">
        <v>45504</v>
      </c>
    </row>
    <row r="350" spans="1:34" x14ac:dyDescent="0.3">
      <c r="A350" s="1">
        <v>7211001</v>
      </c>
      <c r="B350" s="1">
        <v>9.11</v>
      </c>
      <c r="C350" s="1">
        <v>399</v>
      </c>
      <c r="D350" s="1">
        <v>439</v>
      </c>
      <c r="E350" s="1" t="s">
        <v>43</v>
      </c>
      <c r="F350" s="1">
        <v>0</v>
      </c>
      <c r="G350" s="1" t="s">
        <v>1389</v>
      </c>
      <c r="H350" s="1" t="s">
        <v>812</v>
      </c>
      <c r="I350" s="1" t="str">
        <f>HYPERLINK("https://www.systembolaget.se/produkt/vin/bernkasteler-badstube-spatlese-7211001/","https://www.systembolaget.se/produkt/vin/bernkasteler-badstube-spatlese-7211001/")</f>
        <v>https://www.systembolaget.se/produkt/vin/bernkasteler-badstube-spatlese-7211001/</v>
      </c>
      <c r="J350" s="1">
        <v>4.7699999999999996</v>
      </c>
      <c r="K350" s="1">
        <v>9.11</v>
      </c>
      <c r="L350" s="2">
        <v>45389</v>
      </c>
      <c r="M350" s="1" t="s">
        <v>1390</v>
      </c>
      <c r="N350" s="1">
        <v>0.15</v>
      </c>
      <c r="O350" s="1">
        <v>750</v>
      </c>
      <c r="P350" s="1">
        <v>8</v>
      </c>
      <c r="Q350" s="1" t="s">
        <v>38</v>
      </c>
      <c r="R350" s="1" t="s">
        <v>39</v>
      </c>
      <c r="S350" s="1"/>
      <c r="T350" s="1"/>
      <c r="U350" s="1" t="s">
        <v>119</v>
      </c>
      <c r="V350" s="1" t="s">
        <v>814</v>
      </c>
      <c r="W350" s="1"/>
      <c r="X350" s="1" t="s">
        <v>815</v>
      </c>
      <c r="Y350" s="1" t="s">
        <v>678</v>
      </c>
      <c r="Z350" s="1" t="s">
        <v>43</v>
      </c>
      <c r="AA350" s="1">
        <v>2023</v>
      </c>
      <c r="AB350" s="1" t="s">
        <v>44</v>
      </c>
      <c r="AC350" s="1" t="s">
        <v>45</v>
      </c>
      <c r="AD350" s="1" t="s">
        <v>43</v>
      </c>
      <c r="AE350" s="1" t="s">
        <v>43</v>
      </c>
      <c r="AF350" s="1"/>
      <c r="AG350" s="1" t="s">
        <v>43</v>
      </c>
      <c r="AH350" s="2">
        <v>45355</v>
      </c>
    </row>
    <row r="351" spans="1:34" x14ac:dyDescent="0.3">
      <c r="A351" s="1">
        <v>5837801</v>
      </c>
      <c r="B351" s="1">
        <v>9.1</v>
      </c>
      <c r="C351" s="1">
        <v>999</v>
      </c>
      <c r="D351" s="1">
        <v>1099</v>
      </c>
      <c r="E351" s="1" t="s">
        <v>43</v>
      </c>
      <c r="F351" s="1">
        <v>0</v>
      </c>
      <c r="G351" s="1" t="s">
        <v>1391</v>
      </c>
      <c r="H351" s="1" t="s">
        <v>1392</v>
      </c>
      <c r="I351" s="1" t="str">
        <f>HYPERLINK("https://www.systembolaget.se/produkt/vin/edouard-delauay-5837801/","https://www.systembolaget.se/produkt/vin/edouard-delauay-5837801/")</f>
        <v>https://www.systembolaget.se/produkt/vin/edouard-delauay-5837801/</v>
      </c>
      <c r="J351" s="1">
        <v>9.1</v>
      </c>
      <c r="K351" s="1">
        <v>9.1</v>
      </c>
      <c r="L351" s="2">
        <v>45444</v>
      </c>
      <c r="M351" s="1" t="s">
        <v>1393</v>
      </c>
      <c r="N351" s="1">
        <v>0.11</v>
      </c>
      <c r="O351" s="1">
        <v>750</v>
      </c>
      <c r="P351" s="1">
        <v>14.5</v>
      </c>
      <c r="Q351" s="1" t="s">
        <v>38</v>
      </c>
      <c r="R351" s="1" t="s">
        <v>52</v>
      </c>
      <c r="S351" s="1"/>
      <c r="T351" s="1"/>
      <c r="U351" s="1" t="s">
        <v>101</v>
      </c>
      <c r="V351" s="1" t="s">
        <v>142</v>
      </c>
      <c r="W351" s="1" t="s">
        <v>143</v>
      </c>
      <c r="X351" s="1" t="s">
        <v>1394</v>
      </c>
      <c r="Y351" s="1" t="s">
        <v>1125</v>
      </c>
      <c r="Z351" s="1" t="s">
        <v>43</v>
      </c>
      <c r="AA351" s="1">
        <v>2020</v>
      </c>
      <c r="AB351" s="1" t="s">
        <v>77</v>
      </c>
      <c r="AC351" s="1" t="s">
        <v>45</v>
      </c>
      <c r="AD351" s="1" t="s">
        <v>43</v>
      </c>
      <c r="AE351" s="1" t="s">
        <v>43</v>
      </c>
      <c r="AF351" s="1"/>
      <c r="AG351" s="1" t="s">
        <v>43</v>
      </c>
      <c r="AH351" s="2">
        <v>45091</v>
      </c>
    </row>
    <row r="352" spans="1:34" x14ac:dyDescent="0.3">
      <c r="A352" s="1">
        <v>7645201</v>
      </c>
      <c r="B352" s="1">
        <v>9.1</v>
      </c>
      <c r="C352" s="1">
        <v>599</v>
      </c>
      <c r="D352" s="1">
        <v>659</v>
      </c>
      <c r="E352" s="1" t="s">
        <v>43</v>
      </c>
      <c r="F352" s="1">
        <v>0</v>
      </c>
      <c r="G352" s="1" t="s">
        <v>1395</v>
      </c>
      <c r="H352" s="1" t="s">
        <v>1396</v>
      </c>
      <c r="I352" s="1" t="str">
        <f>HYPERLINK("https://www.systembolaget.se/produkt/vin/valentin-leflaive-7645201/","https://www.systembolaget.se/produkt/vin/valentin-leflaive-7645201/")</f>
        <v>https://www.systembolaget.se/produkt/vin/valentin-leflaive-7645201/</v>
      </c>
      <c r="J352" s="1">
        <v>9.1</v>
      </c>
      <c r="K352" s="1">
        <v>9.1</v>
      </c>
      <c r="L352" s="2">
        <v>45389</v>
      </c>
      <c r="M352" s="1" t="s">
        <v>1397</v>
      </c>
      <c r="N352" s="1">
        <v>0.16</v>
      </c>
      <c r="O352" s="1">
        <v>750</v>
      </c>
      <c r="P352" s="1">
        <v>12.5</v>
      </c>
      <c r="Q352" s="1" t="s">
        <v>38</v>
      </c>
      <c r="R352" s="1" t="s">
        <v>61</v>
      </c>
      <c r="S352" s="1" t="s">
        <v>68</v>
      </c>
      <c r="T352" s="1"/>
      <c r="U352" s="1" t="s">
        <v>101</v>
      </c>
      <c r="V352" s="1" t="s">
        <v>346</v>
      </c>
      <c r="W352" s="1"/>
      <c r="X352" s="1" t="s">
        <v>1395</v>
      </c>
      <c r="Y352" s="1" t="s">
        <v>1398</v>
      </c>
      <c r="Z352" s="1" t="s">
        <v>43</v>
      </c>
      <c r="AA352" s="1"/>
      <c r="AB352" s="1" t="s">
        <v>44</v>
      </c>
      <c r="AC352" s="1" t="s">
        <v>45</v>
      </c>
      <c r="AD352" s="1" t="s">
        <v>43</v>
      </c>
      <c r="AE352" s="1" t="s">
        <v>43</v>
      </c>
      <c r="AF352" s="1"/>
      <c r="AG352" s="1" t="s">
        <v>43</v>
      </c>
      <c r="AH352" s="2">
        <v>43738</v>
      </c>
    </row>
    <row r="353" spans="1:34" x14ac:dyDescent="0.3">
      <c r="A353" s="1">
        <v>8540701</v>
      </c>
      <c r="B353" s="1">
        <v>9.1</v>
      </c>
      <c r="C353" s="1">
        <v>619</v>
      </c>
      <c r="D353" s="1">
        <v>681</v>
      </c>
      <c r="E353" s="1" t="s">
        <v>43</v>
      </c>
      <c r="F353" s="1">
        <v>0</v>
      </c>
      <c r="G353" s="1" t="s">
        <v>1399</v>
      </c>
      <c r="H353" s="1" t="s">
        <v>1400</v>
      </c>
      <c r="I353" s="1" t="str">
        <f>HYPERLINK("https://www.systembolaget.se/produkt/sprit/tullibardine-8540701/","https://www.systembolaget.se/produkt/sprit/tullibardine-8540701/")</f>
        <v>https://www.systembolaget.se/produkt/sprit/tullibardine-8540701/</v>
      </c>
      <c r="J353" s="1">
        <v>8.9700000000000006</v>
      </c>
      <c r="K353" s="1">
        <v>9.1</v>
      </c>
      <c r="L353" s="2">
        <v>45389</v>
      </c>
      <c r="M353" s="1" t="s">
        <v>1401</v>
      </c>
      <c r="N353" s="1">
        <v>0.49</v>
      </c>
      <c r="O353" s="1">
        <v>700</v>
      </c>
      <c r="P353" s="1">
        <v>43</v>
      </c>
      <c r="Q353" s="1" t="s">
        <v>308</v>
      </c>
      <c r="R353" s="1" t="s">
        <v>309</v>
      </c>
      <c r="S353" s="1" t="s">
        <v>318</v>
      </c>
      <c r="T353" s="1"/>
      <c r="U353" s="1" t="s">
        <v>253</v>
      </c>
      <c r="V353" s="1" t="s">
        <v>254</v>
      </c>
      <c r="W353" s="1" t="s">
        <v>721</v>
      </c>
      <c r="X353" s="1" t="s">
        <v>1283</v>
      </c>
      <c r="Y353" s="1" t="s">
        <v>857</v>
      </c>
      <c r="Z353" s="1" t="s">
        <v>43</v>
      </c>
      <c r="AA353" s="1"/>
      <c r="AB353" s="1" t="s">
        <v>44</v>
      </c>
      <c r="AC353" s="1" t="s">
        <v>45</v>
      </c>
      <c r="AD353" s="1" t="s">
        <v>43</v>
      </c>
      <c r="AE353" s="1" t="s">
        <v>43</v>
      </c>
      <c r="AF353" s="1"/>
      <c r="AG353" s="1" t="s">
        <v>43</v>
      </c>
      <c r="AH353" s="2">
        <v>41426</v>
      </c>
    </row>
    <row r="354" spans="1:34" x14ac:dyDescent="0.3">
      <c r="A354" s="1">
        <v>8297401</v>
      </c>
      <c r="B354" s="1">
        <v>9.1</v>
      </c>
      <c r="C354" s="1">
        <v>999</v>
      </c>
      <c r="D354" s="1">
        <v>1099</v>
      </c>
      <c r="E354" s="1" t="s">
        <v>43</v>
      </c>
      <c r="F354" s="1">
        <v>0</v>
      </c>
      <c r="G354" s="1" t="s">
        <v>1402</v>
      </c>
      <c r="H354" s="1" t="s">
        <v>1403</v>
      </c>
      <c r="I354" s="1" t="str">
        <f>HYPERLINK("https://www.systembolaget.se/produkt/sprit/aberfeldy-8297401/","https://www.systembolaget.se/produkt/sprit/aberfeldy-8297401/")</f>
        <v>https://www.systembolaget.se/produkt/sprit/aberfeldy-8297401/</v>
      </c>
      <c r="J354" s="1"/>
      <c r="K354" s="1">
        <v>9.1</v>
      </c>
      <c r="L354" s="2">
        <v>46135</v>
      </c>
      <c r="M354" s="1" t="s">
        <v>1404</v>
      </c>
      <c r="N354" s="1">
        <v>0.4</v>
      </c>
      <c r="O354" s="1">
        <v>700</v>
      </c>
      <c r="P354" s="1">
        <v>57.4</v>
      </c>
      <c r="Q354" s="1" t="s">
        <v>308</v>
      </c>
      <c r="R354" s="1" t="s">
        <v>309</v>
      </c>
      <c r="S354" s="1" t="s">
        <v>318</v>
      </c>
      <c r="T354" s="1"/>
      <c r="U354" s="1" t="s">
        <v>253</v>
      </c>
      <c r="V354" s="1"/>
      <c r="W354" s="1"/>
      <c r="X354" s="1" t="s">
        <v>798</v>
      </c>
      <c r="Y354" s="1" t="s">
        <v>799</v>
      </c>
      <c r="Z354" s="1" t="s">
        <v>43</v>
      </c>
      <c r="AA354" s="1">
        <v>2012</v>
      </c>
      <c r="AB354" s="1" t="s">
        <v>44</v>
      </c>
      <c r="AC354" s="1" t="s">
        <v>45</v>
      </c>
      <c r="AD354" s="1" t="s">
        <v>43</v>
      </c>
      <c r="AE354" s="1" t="s">
        <v>43</v>
      </c>
      <c r="AF354" s="1"/>
      <c r="AG354" s="1" t="s">
        <v>43</v>
      </c>
      <c r="AH354" s="2">
        <v>46092</v>
      </c>
    </row>
    <row r="355" spans="1:34" x14ac:dyDescent="0.3">
      <c r="A355" s="1">
        <v>7641501</v>
      </c>
      <c r="B355" s="1">
        <v>9.09</v>
      </c>
      <c r="C355" s="1">
        <v>9999</v>
      </c>
      <c r="D355" s="1">
        <v>10999</v>
      </c>
      <c r="E355" s="1" t="s">
        <v>43</v>
      </c>
      <c r="F355" s="1">
        <v>0</v>
      </c>
      <c r="G355" s="1" t="s">
        <v>722</v>
      </c>
      <c r="H355" s="1" t="s">
        <v>1405</v>
      </c>
      <c r="I355" s="1" t="str">
        <f>HYPERLINK("https://www.systembolaget.se/produkt/vin/chambertin-grand-cru-7641501/","https://www.systembolaget.se/produkt/vin/chambertin-grand-cru-7641501/")</f>
        <v>https://www.systembolaget.se/produkt/vin/chambertin-grand-cru-7641501/</v>
      </c>
      <c r="J355" s="1"/>
      <c r="K355" s="1">
        <v>9.09</v>
      </c>
      <c r="L355" s="2">
        <v>45994</v>
      </c>
      <c r="M355" s="1" t="s">
        <v>1406</v>
      </c>
      <c r="N355" s="1">
        <v>0.01</v>
      </c>
      <c r="O355" s="1">
        <v>750</v>
      </c>
      <c r="P355" s="1">
        <v>13.5</v>
      </c>
      <c r="Q355" s="1" t="s">
        <v>38</v>
      </c>
      <c r="R355" s="1" t="s">
        <v>52</v>
      </c>
      <c r="S355" s="1"/>
      <c r="T355" s="1"/>
      <c r="U355" s="1" t="s">
        <v>101</v>
      </c>
      <c r="V355" s="1" t="s">
        <v>142</v>
      </c>
      <c r="W355" s="1" t="s">
        <v>725</v>
      </c>
      <c r="X355" s="1" t="s">
        <v>723</v>
      </c>
      <c r="Y355" s="1" t="s">
        <v>678</v>
      </c>
      <c r="Z355" s="1" t="s">
        <v>46</v>
      </c>
      <c r="AA355" s="1">
        <v>2005</v>
      </c>
      <c r="AB355" s="1" t="s">
        <v>44</v>
      </c>
      <c r="AC355" s="1" t="s">
        <v>45</v>
      </c>
      <c r="AD355" s="1" t="s">
        <v>43</v>
      </c>
      <c r="AE355" s="1" t="s">
        <v>43</v>
      </c>
      <c r="AF355" s="1"/>
      <c r="AG355" s="1" t="s">
        <v>43</v>
      </c>
      <c r="AH355" s="2">
        <v>46001</v>
      </c>
    </row>
    <row r="356" spans="1:34" x14ac:dyDescent="0.3">
      <c r="A356" s="1">
        <v>7825601</v>
      </c>
      <c r="B356" s="1">
        <v>9.09</v>
      </c>
      <c r="C356" s="1">
        <v>1000</v>
      </c>
      <c r="D356" s="1">
        <v>1100</v>
      </c>
      <c r="E356" s="1" t="s">
        <v>43</v>
      </c>
      <c r="F356" s="1">
        <v>6</v>
      </c>
      <c r="G356" s="1" t="s">
        <v>1407</v>
      </c>
      <c r="H356" s="1" t="s">
        <v>1408</v>
      </c>
      <c r="I356" s="1" t="str">
        <f>HYPERLINK("https://www.systembolaget.se/produkt/vin/chateau-latour-a-pomerol-7825601/","https://www.systembolaget.se/produkt/vin/chateau-latour-a-pomerol-7825601/")</f>
        <v>https://www.systembolaget.se/produkt/vin/chateau-latour-a-pomerol-7825601/</v>
      </c>
      <c r="J356" s="1">
        <v>-25.16</v>
      </c>
      <c r="K356" s="1">
        <v>9.09</v>
      </c>
      <c r="L356" s="2">
        <v>45978</v>
      </c>
      <c r="M356" s="1" t="s">
        <v>1409</v>
      </c>
      <c r="N356" s="1">
        <v>0.1</v>
      </c>
      <c r="O356" s="1">
        <v>750</v>
      </c>
      <c r="P356" s="1">
        <v>13.5</v>
      </c>
      <c r="Q356" s="1" t="s">
        <v>38</v>
      </c>
      <c r="R356" s="1" t="s">
        <v>52</v>
      </c>
      <c r="S356" s="1"/>
      <c r="T356" s="1"/>
      <c r="U356" s="1" t="s">
        <v>101</v>
      </c>
      <c r="V356" s="1" t="s">
        <v>371</v>
      </c>
      <c r="W356" s="1" t="s">
        <v>372</v>
      </c>
      <c r="X356" s="1" t="s">
        <v>373</v>
      </c>
      <c r="Y356" s="1" t="s">
        <v>374</v>
      </c>
      <c r="Z356" s="1" t="s">
        <v>43</v>
      </c>
      <c r="AA356" s="1">
        <v>2021</v>
      </c>
      <c r="AB356" s="1" t="s">
        <v>44</v>
      </c>
      <c r="AC356" s="1" t="s">
        <v>45</v>
      </c>
      <c r="AD356" s="1" t="s">
        <v>43</v>
      </c>
      <c r="AE356" s="1" t="s">
        <v>43</v>
      </c>
      <c r="AF356" s="1"/>
      <c r="AG356" s="1" t="s">
        <v>43</v>
      </c>
      <c r="AH356" s="2">
        <v>45985</v>
      </c>
    </row>
    <row r="357" spans="1:34" x14ac:dyDescent="0.3">
      <c r="A357" s="1">
        <v>7606501</v>
      </c>
      <c r="B357" s="1">
        <v>9.09</v>
      </c>
      <c r="C357" s="1">
        <v>9999</v>
      </c>
      <c r="D357" s="1">
        <v>10999</v>
      </c>
      <c r="E357" s="1" t="s">
        <v>43</v>
      </c>
      <c r="F357" s="1">
        <v>0</v>
      </c>
      <c r="G357" s="1" t="s">
        <v>1410</v>
      </c>
      <c r="H357" s="1" t="s">
        <v>1137</v>
      </c>
      <c r="I357" s="1" t="str">
        <f>HYPERLINK("https://www.systembolaget.se/produkt/vin/musigny-grand-cru-7606501/","https://www.systembolaget.se/produkt/vin/musigny-grand-cru-7606501/")</f>
        <v>https://www.systembolaget.se/produkt/vin/musigny-grand-cru-7606501/</v>
      </c>
      <c r="J357" s="1"/>
      <c r="K357" s="1">
        <v>9.09</v>
      </c>
      <c r="L357" s="2">
        <v>45994</v>
      </c>
      <c r="M357" s="1" t="s">
        <v>1406</v>
      </c>
      <c r="N357" s="1">
        <v>0.01</v>
      </c>
      <c r="O357" s="1">
        <v>750</v>
      </c>
      <c r="P357" s="1">
        <v>13</v>
      </c>
      <c r="Q357" s="1" t="s">
        <v>38</v>
      </c>
      <c r="R357" s="1" t="s">
        <v>52</v>
      </c>
      <c r="S357" s="1"/>
      <c r="T357" s="1"/>
      <c r="U357" s="1" t="s">
        <v>101</v>
      </c>
      <c r="V357" s="1" t="s">
        <v>142</v>
      </c>
      <c r="W357" s="1" t="s">
        <v>725</v>
      </c>
      <c r="X357" s="1" t="s">
        <v>1137</v>
      </c>
      <c r="Y357" s="1" t="s">
        <v>678</v>
      </c>
      <c r="Z357" s="1" t="s">
        <v>46</v>
      </c>
      <c r="AA357" s="1">
        <v>2022</v>
      </c>
      <c r="AB357" s="1" t="s">
        <v>44</v>
      </c>
      <c r="AC357" s="1" t="s">
        <v>45</v>
      </c>
      <c r="AD357" s="1" t="s">
        <v>43</v>
      </c>
      <c r="AE357" s="1" t="s">
        <v>43</v>
      </c>
      <c r="AF357" s="1"/>
      <c r="AG357" s="1" t="s">
        <v>43</v>
      </c>
      <c r="AH357" s="2">
        <v>46001</v>
      </c>
    </row>
    <row r="358" spans="1:34" x14ac:dyDescent="0.3">
      <c r="A358" s="1">
        <v>5977901</v>
      </c>
      <c r="B358" s="1">
        <v>9.09</v>
      </c>
      <c r="C358" s="1">
        <v>1000</v>
      </c>
      <c r="D358" s="1">
        <v>1100</v>
      </c>
      <c r="E358" s="1" t="s">
        <v>43</v>
      </c>
      <c r="F358" s="1">
        <v>6</v>
      </c>
      <c r="G358" s="1" t="s">
        <v>1411</v>
      </c>
      <c r="H358" s="1" t="s">
        <v>281</v>
      </c>
      <c r="I358" s="1" t="str">
        <f>HYPERLINK("https://www.systembolaget.se/produkt/vin/mount-mary-5977901/","https://www.systembolaget.se/produkt/vin/mount-mary-5977901/")</f>
        <v>https://www.systembolaget.se/produkt/vin/mount-mary-5977901/</v>
      </c>
      <c r="J358" s="1">
        <v>9.26</v>
      </c>
      <c r="K358" s="1">
        <v>9.09</v>
      </c>
      <c r="L358" s="2">
        <v>45509</v>
      </c>
      <c r="M358" s="1" t="s">
        <v>1412</v>
      </c>
      <c r="N358" s="1">
        <v>0.1</v>
      </c>
      <c r="O358" s="1">
        <v>750</v>
      </c>
      <c r="P358" s="1">
        <v>13.5</v>
      </c>
      <c r="Q358" s="1" t="s">
        <v>38</v>
      </c>
      <c r="R358" s="1" t="s">
        <v>39</v>
      </c>
      <c r="S358" s="1"/>
      <c r="T358" s="1"/>
      <c r="U358" s="1" t="s">
        <v>149</v>
      </c>
      <c r="V358" s="1" t="s">
        <v>582</v>
      </c>
      <c r="W358" s="1" t="s">
        <v>1413</v>
      </c>
      <c r="X358" s="1" t="s">
        <v>1414</v>
      </c>
      <c r="Y358" s="1" t="s">
        <v>374</v>
      </c>
      <c r="Z358" s="1" t="s">
        <v>43</v>
      </c>
      <c r="AA358" s="1">
        <v>2016</v>
      </c>
      <c r="AB358" s="1" t="s">
        <v>44</v>
      </c>
      <c r="AC358" s="1" t="s">
        <v>45</v>
      </c>
      <c r="AD358" s="1" t="s">
        <v>43</v>
      </c>
      <c r="AE358" s="1" t="s">
        <v>43</v>
      </c>
      <c r="AF358" s="1"/>
      <c r="AG358" s="1" t="s">
        <v>43</v>
      </c>
      <c r="AH358" s="2">
        <v>44958</v>
      </c>
    </row>
    <row r="359" spans="1:34" x14ac:dyDescent="0.3">
      <c r="A359" s="1">
        <v>5642201</v>
      </c>
      <c r="B359" s="1">
        <v>9.0299999999999994</v>
      </c>
      <c r="C359" s="1">
        <v>1098</v>
      </c>
      <c r="D359" s="1">
        <v>1207</v>
      </c>
      <c r="E359" s="1" t="s">
        <v>43</v>
      </c>
      <c r="F359" s="1">
        <v>0</v>
      </c>
      <c r="G359" s="1" t="s">
        <v>1415</v>
      </c>
      <c r="H359" s="1" t="s">
        <v>1416</v>
      </c>
      <c r="I359" s="1" t="str">
        <f>HYPERLINK("https://www.systembolaget.se/produkt/sprit/fable-moon-5642201/","https://www.systembolaget.se/produkt/sprit/fable-moon-5642201/")</f>
        <v>https://www.systembolaget.se/produkt/sprit/fable-moon-5642201/</v>
      </c>
      <c r="J359" s="1">
        <v>8.8800000000000008</v>
      </c>
      <c r="K359" s="1">
        <v>9.0299999999999994</v>
      </c>
      <c r="L359" s="2">
        <v>45389</v>
      </c>
      <c r="M359" s="1" t="s">
        <v>1417</v>
      </c>
      <c r="N359" s="1">
        <v>0.38</v>
      </c>
      <c r="O359" s="1">
        <v>700</v>
      </c>
      <c r="P359" s="1">
        <v>60.3</v>
      </c>
      <c r="Q359" s="1" t="s">
        <v>308</v>
      </c>
      <c r="R359" s="1" t="s">
        <v>309</v>
      </c>
      <c r="S359" s="1" t="s">
        <v>318</v>
      </c>
      <c r="T359" s="1"/>
      <c r="U359" s="1" t="s">
        <v>253</v>
      </c>
      <c r="V359" s="1" t="s">
        <v>254</v>
      </c>
      <c r="W359" s="1" t="s">
        <v>721</v>
      </c>
      <c r="X359" s="1" t="s">
        <v>1418</v>
      </c>
      <c r="Y359" s="1" t="s">
        <v>857</v>
      </c>
      <c r="Z359" s="1" t="s">
        <v>43</v>
      </c>
      <c r="AA359" s="1">
        <v>2010</v>
      </c>
      <c r="AB359" s="1" t="s">
        <v>44</v>
      </c>
      <c r="AC359" s="1" t="s">
        <v>45</v>
      </c>
      <c r="AD359" s="1" t="s">
        <v>43</v>
      </c>
      <c r="AE359" s="1" t="s">
        <v>43</v>
      </c>
      <c r="AF359" s="1"/>
      <c r="AG359" s="1" t="s">
        <v>43</v>
      </c>
      <c r="AH359" s="2">
        <v>44657</v>
      </c>
    </row>
    <row r="360" spans="1:34" x14ac:dyDescent="0.3">
      <c r="A360" s="1">
        <v>8794101</v>
      </c>
      <c r="B360" s="1">
        <v>8.9600000000000009</v>
      </c>
      <c r="C360" s="1">
        <v>498</v>
      </c>
      <c r="D360" s="1">
        <v>547</v>
      </c>
      <c r="E360" s="1" t="s">
        <v>43</v>
      </c>
      <c r="F360" s="1">
        <v>0</v>
      </c>
      <c r="G360" s="1" t="s">
        <v>1419</v>
      </c>
      <c r="H360" s="1"/>
      <c r="I360" s="1" t="str">
        <f>HYPERLINK("https://www.systembolaget.se/produkt/sprit/westerhall-no-2-8794101/","https://www.systembolaget.se/produkt/sprit/westerhall-no-2-8794101/")</f>
        <v>https://www.systembolaget.se/produkt/sprit/westerhall-no-2-8794101/</v>
      </c>
      <c r="J360" s="1">
        <v>8.7899999999999991</v>
      </c>
      <c r="K360" s="1">
        <v>8.9600000000000009</v>
      </c>
      <c r="L360" s="2">
        <v>45389</v>
      </c>
      <c r="M360" s="1" t="s">
        <v>1420</v>
      </c>
      <c r="N360" s="1">
        <v>0.53</v>
      </c>
      <c r="O360" s="1">
        <v>700</v>
      </c>
      <c r="P360" s="1">
        <v>37.5</v>
      </c>
      <c r="Q360" s="1" t="s">
        <v>308</v>
      </c>
      <c r="R360" s="1" t="s">
        <v>908</v>
      </c>
      <c r="S360" s="1" t="s">
        <v>1362</v>
      </c>
      <c r="T360" s="1"/>
      <c r="U360" s="1" t="s">
        <v>910</v>
      </c>
      <c r="V360" s="1"/>
      <c r="W360" s="1"/>
      <c r="X360" s="1" t="s">
        <v>911</v>
      </c>
      <c r="Y360" s="1" t="s">
        <v>857</v>
      </c>
      <c r="Z360" s="1" t="s">
        <v>43</v>
      </c>
      <c r="AA360" s="1"/>
      <c r="AB360" s="1" t="s">
        <v>44</v>
      </c>
      <c r="AC360" s="1" t="s">
        <v>45</v>
      </c>
      <c r="AD360" s="1" t="s">
        <v>43</v>
      </c>
      <c r="AE360" s="1" t="s">
        <v>43</v>
      </c>
      <c r="AF360" s="1"/>
      <c r="AG360" s="1" t="s">
        <v>43</v>
      </c>
      <c r="AH360" s="2">
        <v>43591</v>
      </c>
    </row>
    <row r="361" spans="1:34" x14ac:dyDescent="0.3">
      <c r="A361" s="1">
        <v>7576906</v>
      </c>
      <c r="B361" s="1">
        <v>8.82</v>
      </c>
      <c r="C361" s="1">
        <v>15499</v>
      </c>
      <c r="D361" s="1">
        <v>16999</v>
      </c>
      <c r="E361" s="1" t="s">
        <v>43</v>
      </c>
      <c r="F361" s="1">
        <v>0</v>
      </c>
      <c r="G361" s="1" t="s">
        <v>1145</v>
      </c>
      <c r="H361" s="1" t="s">
        <v>801</v>
      </c>
      <c r="I361" s="1" t="str">
        <f>HYPERLINK("https://www.systembolaget.se/produkt/vin/bonnes-mares-grand-cru-7576906/","https://www.systembolaget.se/produkt/vin/bonnes-mares-grand-cru-7576906/")</f>
        <v>https://www.systembolaget.se/produkt/vin/bonnes-mares-grand-cru-7576906/</v>
      </c>
      <c r="J361" s="1">
        <v>8.82</v>
      </c>
      <c r="K361" s="1">
        <v>8.82</v>
      </c>
      <c r="L361" s="2">
        <v>45539</v>
      </c>
      <c r="M361" s="1" t="s">
        <v>1421</v>
      </c>
      <c r="N361" s="1">
        <v>0.01</v>
      </c>
      <c r="O361" s="1">
        <v>1500</v>
      </c>
      <c r="P361" s="1">
        <v>13.5</v>
      </c>
      <c r="Q361" s="1" t="s">
        <v>38</v>
      </c>
      <c r="R361" s="1" t="s">
        <v>52</v>
      </c>
      <c r="S361" s="1"/>
      <c r="T361" s="1"/>
      <c r="U361" s="1" t="s">
        <v>101</v>
      </c>
      <c r="V361" s="1" t="s">
        <v>142</v>
      </c>
      <c r="W361" s="1" t="s">
        <v>725</v>
      </c>
      <c r="X361" s="1" t="s">
        <v>801</v>
      </c>
      <c r="Y361" s="1" t="s">
        <v>678</v>
      </c>
      <c r="Z361" s="1" t="s">
        <v>43</v>
      </c>
      <c r="AA361" s="1">
        <v>2022</v>
      </c>
      <c r="AB361" s="1" t="s">
        <v>375</v>
      </c>
      <c r="AC361" s="1" t="s">
        <v>45</v>
      </c>
      <c r="AD361" s="1" t="s">
        <v>43</v>
      </c>
      <c r="AE361" s="1" t="s">
        <v>43</v>
      </c>
      <c r="AF361" s="1"/>
      <c r="AG361" s="1" t="s">
        <v>43</v>
      </c>
      <c r="AH361" s="2">
        <v>45546</v>
      </c>
    </row>
    <row r="362" spans="1:34" x14ac:dyDescent="0.3">
      <c r="A362" s="1">
        <v>5642801</v>
      </c>
      <c r="B362" s="1">
        <v>8.8000000000000007</v>
      </c>
      <c r="C362" s="1">
        <v>1098</v>
      </c>
      <c r="D362" s="1">
        <v>1204</v>
      </c>
      <c r="E362" s="1" t="s">
        <v>43</v>
      </c>
      <c r="F362" s="1">
        <v>0</v>
      </c>
      <c r="G362" s="1" t="s">
        <v>1422</v>
      </c>
      <c r="H362" s="1" t="s">
        <v>1423</v>
      </c>
      <c r="I362" s="1" t="str">
        <f>HYPERLINK("https://www.systembolaget.se/produkt/sprit/fable-bay-5642801/","https://www.systembolaget.se/produkt/sprit/fable-bay-5642801/")</f>
        <v>https://www.systembolaget.se/produkt/sprit/fable-bay-5642801/</v>
      </c>
      <c r="J362" s="1">
        <v>8.73</v>
      </c>
      <c r="K362" s="1">
        <v>8.8000000000000007</v>
      </c>
      <c r="L362" s="2">
        <v>45389</v>
      </c>
      <c r="M362" s="1" t="s">
        <v>1424</v>
      </c>
      <c r="N362" s="1">
        <v>0.38</v>
      </c>
      <c r="O362" s="1">
        <v>700</v>
      </c>
      <c r="P362" s="1">
        <v>59.8</v>
      </c>
      <c r="Q362" s="1" t="s">
        <v>308</v>
      </c>
      <c r="R362" s="1" t="s">
        <v>309</v>
      </c>
      <c r="S362" s="1" t="s">
        <v>318</v>
      </c>
      <c r="T362" s="1"/>
      <c r="U362" s="1" t="s">
        <v>253</v>
      </c>
      <c r="V362" s="1" t="s">
        <v>254</v>
      </c>
      <c r="W362" s="1" t="s">
        <v>721</v>
      </c>
      <c r="X362" s="1" t="s">
        <v>1418</v>
      </c>
      <c r="Y362" s="1" t="s">
        <v>857</v>
      </c>
      <c r="Z362" s="1" t="s">
        <v>43</v>
      </c>
      <c r="AA362" s="1">
        <v>2009</v>
      </c>
      <c r="AB362" s="1" t="s">
        <v>44</v>
      </c>
      <c r="AC362" s="1" t="s">
        <v>45</v>
      </c>
      <c r="AD362" s="1" t="s">
        <v>43</v>
      </c>
      <c r="AE362" s="1" t="s">
        <v>43</v>
      </c>
      <c r="AF362" s="1"/>
      <c r="AG362" s="1" t="s">
        <v>43</v>
      </c>
      <c r="AH362" s="2">
        <v>44657</v>
      </c>
    </row>
    <row r="363" spans="1:34" x14ac:dyDescent="0.3">
      <c r="A363" s="1">
        <v>9486001</v>
      </c>
      <c r="B363" s="1">
        <v>8.6999999999999993</v>
      </c>
      <c r="C363" s="1">
        <v>10499</v>
      </c>
      <c r="D363" s="1">
        <v>11499</v>
      </c>
      <c r="E363" s="1" t="s">
        <v>43</v>
      </c>
      <c r="F363" s="1">
        <v>0</v>
      </c>
      <c r="G363" s="1" t="s">
        <v>1425</v>
      </c>
      <c r="H363" s="1" t="s">
        <v>801</v>
      </c>
      <c r="I363" s="1" t="str">
        <f>HYPERLINK("https://www.systembolaget.se/produkt/vin/musigny-blanc-grand-cru-9486001/","https://www.systembolaget.se/produkt/vin/musigny-blanc-grand-cru-9486001/")</f>
        <v>https://www.systembolaget.se/produkt/vin/musigny-blanc-grand-cru-9486001/</v>
      </c>
      <c r="J363" s="1">
        <v>8.6999999999999993</v>
      </c>
      <c r="K363" s="1">
        <v>8.6999999999999993</v>
      </c>
      <c r="L363" s="2">
        <v>45754</v>
      </c>
      <c r="M363" s="1" t="s">
        <v>1426</v>
      </c>
      <c r="N363" s="1">
        <v>0.01</v>
      </c>
      <c r="O363" s="1">
        <v>750</v>
      </c>
      <c r="P363" s="1">
        <v>13</v>
      </c>
      <c r="Q363" s="1" t="s">
        <v>38</v>
      </c>
      <c r="R363" s="1" t="s">
        <v>39</v>
      </c>
      <c r="S363" s="1"/>
      <c r="T363" s="1"/>
      <c r="U363" s="1" t="s">
        <v>101</v>
      </c>
      <c r="V363" s="1" t="s">
        <v>142</v>
      </c>
      <c r="W363" s="1" t="s">
        <v>725</v>
      </c>
      <c r="X363" s="1" t="s">
        <v>801</v>
      </c>
      <c r="Y363" s="1" t="s">
        <v>678</v>
      </c>
      <c r="Z363" s="1" t="s">
        <v>43</v>
      </c>
      <c r="AA363" s="1">
        <v>2021</v>
      </c>
      <c r="AB363" s="1" t="s">
        <v>44</v>
      </c>
      <c r="AC363" s="1" t="s">
        <v>45</v>
      </c>
      <c r="AD363" s="1" t="s">
        <v>43</v>
      </c>
      <c r="AE363" s="1" t="s">
        <v>43</v>
      </c>
      <c r="AF363" s="1"/>
      <c r="AG363" s="1" t="s">
        <v>43</v>
      </c>
      <c r="AH363" s="2">
        <v>45330</v>
      </c>
    </row>
    <row r="364" spans="1:34" x14ac:dyDescent="0.3">
      <c r="A364" s="1">
        <v>555507</v>
      </c>
      <c r="B364" s="1">
        <v>8.6</v>
      </c>
      <c r="C364" s="1">
        <v>319</v>
      </c>
      <c r="D364" s="1">
        <v>349</v>
      </c>
      <c r="E364" s="1" t="s">
        <v>43</v>
      </c>
      <c r="F364" s="1">
        <v>0</v>
      </c>
      <c r="G364" s="1" t="s">
        <v>409</v>
      </c>
      <c r="H364" s="1" t="s">
        <v>1427</v>
      </c>
      <c r="I364" s="1" t="str">
        <f>HYPERLINK("https://www.systembolaget.se/produkt/vin/bourgogne-chardonnay-555507/","https://www.systembolaget.se/produkt/vin/bourgogne-chardonnay-555507/")</f>
        <v>https://www.systembolaget.se/produkt/vin/bourgogne-chardonnay-555507/</v>
      </c>
      <c r="J364" s="1">
        <v>8.6</v>
      </c>
      <c r="K364" s="1">
        <v>8.6</v>
      </c>
      <c r="L364" s="2">
        <v>45435</v>
      </c>
      <c r="M364" s="1" t="s">
        <v>1428</v>
      </c>
      <c r="N364" s="1">
        <v>0.88</v>
      </c>
      <c r="O364" s="1">
        <v>2250</v>
      </c>
      <c r="P364" s="1">
        <v>12.5</v>
      </c>
      <c r="Q364" s="1" t="s">
        <v>38</v>
      </c>
      <c r="R364" s="1" t="s">
        <v>39</v>
      </c>
      <c r="S364" s="1" t="s">
        <v>283</v>
      </c>
      <c r="T364" s="1"/>
      <c r="U364" s="1" t="s">
        <v>101</v>
      </c>
      <c r="V364" s="1" t="s">
        <v>142</v>
      </c>
      <c r="W364" s="1"/>
      <c r="X364" s="1" t="s">
        <v>1429</v>
      </c>
      <c r="Y364" s="1" t="s">
        <v>407</v>
      </c>
      <c r="Z364" s="1" t="s">
        <v>43</v>
      </c>
      <c r="AA364" s="1">
        <v>2023</v>
      </c>
      <c r="AB364" s="1" t="s">
        <v>654</v>
      </c>
      <c r="AC364" s="1" t="s">
        <v>90</v>
      </c>
      <c r="AD364" s="1" t="s">
        <v>43</v>
      </c>
      <c r="AE364" s="1" t="s">
        <v>43</v>
      </c>
      <c r="AF364" s="1">
        <v>2</v>
      </c>
      <c r="AG364" s="1" t="s">
        <v>43</v>
      </c>
      <c r="AH364" s="2">
        <v>43344</v>
      </c>
    </row>
    <row r="365" spans="1:34" x14ac:dyDescent="0.3">
      <c r="A365" s="1">
        <v>5923201</v>
      </c>
      <c r="B365" s="1">
        <v>8.5299999999999994</v>
      </c>
      <c r="C365" s="1">
        <v>429</v>
      </c>
      <c r="D365" s="1">
        <v>469</v>
      </c>
      <c r="E365" s="1" t="s">
        <v>43</v>
      </c>
      <c r="F365" s="1">
        <v>0</v>
      </c>
      <c r="G365" s="1" t="s">
        <v>1430</v>
      </c>
      <c r="H365" s="1" t="s">
        <v>1431</v>
      </c>
      <c r="I365" s="1" t="str">
        <f>HYPERLINK("https://www.systembolaget.se/produkt/vin/pouilly-fuisse-1er-cru-sur-la-roche-5923201/","https://www.systembolaget.se/produkt/vin/pouilly-fuisse-1er-cru-sur-la-roche-5923201/")</f>
        <v>https://www.systembolaget.se/produkt/vin/pouilly-fuisse-1er-cru-sur-la-roche-5923201/</v>
      </c>
      <c r="J365" s="1">
        <v>6.54</v>
      </c>
      <c r="K365" s="1">
        <v>8.5299999999999994</v>
      </c>
      <c r="L365" s="2">
        <v>45389</v>
      </c>
      <c r="M365" s="1" t="s">
        <v>1432</v>
      </c>
      <c r="N365" s="1">
        <v>0.24</v>
      </c>
      <c r="O365" s="1">
        <v>750</v>
      </c>
      <c r="P365" s="1">
        <v>13.5</v>
      </c>
      <c r="Q365" s="1" t="s">
        <v>38</v>
      </c>
      <c r="R365" s="1" t="s">
        <v>39</v>
      </c>
      <c r="S365" s="1"/>
      <c r="T365" s="1"/>
      <c r="U365" s="1" t="s">
        <v>101</v>
      </c>
      <c r="V365" s="1" t="s">
        <v>142</v>
      </c>
      <c r="W365" s="1" t="s">
        <v>1433</v>
      </c>
      <c r="X365" s="1" t="s">
        <v>1431</v>
      </c>
      <c r="Y365" s="1" t="s">
        <v>678</v>
      </c>
      <c r="Z365" s="1" t="s">
        <v>43</v>
      </c>
      <c r="AA365" s="1">
        <v>2022</v>
      </c>
      <c r="AB365" s="1" t="s">
        <v>44</v>
      </c>
      <c r="AC365" s="1" t="s">
        <v>45</v>
      </c>
      <c r="AD365" s="1" t="s">
        <v>43</v>
      </c>
      <c r="AE365" s="1" t="s">
        <v>43</v>
      </c>
      <c r="AF365" s="1"/>
      <c r="AG365" s="1" t="s">
        <v>43</v>
      </c>
      <c r="AH365" s="2">
        <v>45250</v>
      </c>
    </row>
    <row r="366" spans="1:34" x14ac:dyDescent="0.3">
      <c r="A366" s="1">
        <v>7036101</v>
      </c>
      <c r="B366" s="1">
        <v>8.4</v>
      </c>
      <c r="C366" s="1">
        <v>109</v>
      </c>
      <c r="D366" s="1">
        <v>119</v>
      </c>
      <c r="E366" s="1" t="s">
        <v>43</v>
      </c>
      <c r="F366" s="1">
        <v>0</v>
      </c>
      <c r="G366" s="1" t="s">
        <v>1434</v>
      </c>
      <c r="H366" s="1" t="s">
        <v>294</v>
      </c>
      <c r="I366" s="1" t="str">
        <f>HYPERLINK("https://www.systembolaget.se/produkt/vin/meinklang-naken-7036101/","https://www.systembolaget.se/produkt/vin/meinklang-naken-7036101/")</f>
        <v>https://www.systembolaget.se/produkt/vin/meinklang-naken-7036101/</v>
      </c>
      <c r="J366" s="1">
        <v>8.4</v>
      </c>
      <c r="K366" s="1">
        <v>8.4</v>
      </c>
      <c r="L366" s="2">
        <v>45389</v>
      </c>
      <c r="M366" s="1" t="s">
        <v>1435</v>
      </c>
      <c r="N366" s="1">
        <v>0.76</v>
      </c>
      <c r="O366" s="1">
        <v>750</v>
      </c>
      <c r="P366" s="1">
        <v>11</v>
      </c>
      <c r="Q366" s="1" t="s">
        <v>38</v>
      </c>
      <c r="R366" s="1" t="s">
        <v>39</v>
      </c>
      <c r="S366" s="1" t="s">
        <v>184</v>
      </c>
      <c r="T366" s="1"/>
      <c r="U366" s="1" t="s">
        <v>295</v>
      </c>
      <c r="V366" s="1"/>
      <c r="W366" s="1"/>
      <c r="X366" s="1" t="s">
        <v>1436</v>
      </c>
      <c r="Y366" s="1" t="s">
        <v>666</v>
      </c>
      <c r="Z366" s="1" t="s">
        <v>46</v>
      </c>
      <c r="AA366" s="1">
        <v>2025</v>
      </c>
      <c r="AB366" s="1" t="s">
        <v>44</v>
      </c>
      <c r="AC366" s="1" t="s">
        <v>90</v>
      </c>
      <c r="AD366" s="1" t="s">
        <v>43</v>
      </c>
      <c r="AE366" s="1" t="s">
        <v>43</v>
      </c>
      <c r="AF366" s="1">
        <v>2</v>
      </c>
      <c r="AG366" s="1" t="s">
        <v>43</v>
      </c>
      <c r="AH366" s="2">
        <v>43731</v>
      </c>
    </row>
    <row r="367" spans="1:34" x14ac:dyDescent="0.3">
      <c r="A367" s="1">
        <v>3183715</v>
      </c>
      <c r="B367" s="1">
        <v>8.4</v>
      </c>
      <c r="C367" s="1">
        <v>22.9</v>
      </c>
      <c r="D367" s="1">
        <v>25</v>
      </c>
      <c r="E367" s="1" t="s">
        <v>43</v>
      </c>
      <c r="F367" s="1">
        <v>0</v>
      </c>
      <c r="G367" s="1" t="s">
        <v>1437</v>
      </c>
      <c r="H367" s="1"/>
      <c r="I367" s="1" t="str">
        <f>HYPERLINK("https://www.systembolaget.se/produkt/ol/swheat-3183715/","https://www.systembolaget.se/produkt/ol/swheat-3183715/")</f>
        <v>https://www.systembolaget.se/produkt/ol/swheat-3183715/</v>
      </c>
      <c r="J367" s="1">
        <v>8.0299999999999994</v>
      </c>
      <c r="K367" s="1">
        <v>8.4</v>
      </c>
      <c r="L367" s="2">
        <v>45389</v>
      </c>
      <c r="M367" s="1" t="s">
        <v>1438</v>
      </c>
      <c r="N367" s="1">
        <v>0.72</v>
      </c>
      <c r="O367" s="1">
        <v>330</v>
      </c>
      <c r="P367" s="1">
        <v>5</v>
      </c>
      <c r="Q367" s="1" t="s">
        <v>107</v>
      </c>
      <c r="R367" s="1" t="s">
        <v>108</v>
      </c>
      <c r="S367" s="1" t="s">
        <v>252</v>
      </c>
      <c r="T367" s="1"/>
      <c r="U367" s="1" t="s">
        <v>110</v>
      </c>
      <c r="V367" s="1" t="s">
        <v>111</v>
      </c>
      <c r="W367" s="1" t="s">
        <v>112</v>
      </c>
      <c r="X367" s="1" t="s">
        <v>104</v>
      </c>
      <c r="Y367" s="1" t="s">
        <v>113</v>
      </c>
      <c r="Z367" s="1" t="s">
        <v>43</v>
      </c>
      <c r="AA367" s="1"/>
      <c r="AB367" s="1" t="s">
        <v>114</v>
      </c>
      <c r="AC367" s="1" t="s">
        <v>115</v>
      </c>
      <c r="AD367" s="1" t="s">
        <v>43</v>
      </c>
      <c r="AE367" s="1" t="s">
        <v>43</v>
      </c>
      <c r="AF367" s="1"/>
      <c r="AG367" s="1" t="s">
        <v>43</v>
      </c>
      <c r="AH367" s="2">
        <v>43010</v>
      </c>
    </row>
    <row r="368" spans="1:34" x14ac:dyDescent="0.3">
      <c r="A368" s="1">
        <v>7737601</v>
      </c>
      <c r="B368" s="1">
        <v>8.39</v>
      </c>
      <c r="C368" s="1">
        <v>699</v>
      </c>
      <c r="D368" s="1">
        <v>763</v>
      </c>
      <c r="E368" s="1" t="s">
        <v>43</v>
      </c>
      <c r="F368" s="1">
        <v>0</v>
      </c>
      <c r="G368" s="1" t="s">
        <v>1439</v>
      </c>
      <c r="H368" s="1" t="s">
        <v>1440</v>
      </c>
      <c r="I368" s="1" t="str">
        <f>HYPERLINK("https://www.systembolaget.se/produkt/vin/martin-muthenthaler-7737601/","https://www.systembolaget.se/produkt/vin/martin-muthenthaler-7737601/")</f>
        <v>https://www.systembolaget.se/produkt/vin/martin-muthenthaler-7737601/</v>
      </c>
      <c r="J368" s="1"/>
      <c r="K368" s="1">
        <v>8.39</v>
      </c>
      <c r="L368" s="2">
        <v>46003</v>
      </c>
      <c r="M368" s="1" t="s">
        <v>1441</v>
      </c>
      <c r="N368" s="1">
        <v>0.1</v>
      </c>
      <c r="O368" s="1">
        <v>750</v>
      </c>
      <c r="P368" s="1">
        <v>9.5</v>
      </c>
      <c r="Q368" s="1" t="s">
        <v>38</v>
      </c>
      <c r="R368" s="1" t="s">
        <v>39</v>
      </c>
      <c r="S368" s="1"/>
      <c r="T368" s="1"/>
      <c r="U368" s="1" t="s">
        <v>295</v>
      </c>
      <c r="V368" s="1" t="s">
        <v>296</v>
      </c>
      <c r="W368" s="1" t="s">
        <v>1442</v>
      </c>
      <c r="X368" s="1" t="s">
        <v>1439</v>
      </c>
      <c r="Y368" s="1" t="s">
        <v>905</v>
      </c>
      <c r="Z368" s="1" t="s">
        <v>43</v>
      </c>
      <c r="AA368" s="1">
        <v>2021</v>
      </c>
      <c r="AB368" s="1" t="s">
        <v>44</v>
      </c>
      <c r="AC368" s="1" t="s">
        <v>45</v>
      </c>
      <c r="AD368" s="1" t="s">
        <v>43</v>
      </c>
      <c r="AE368" s="1" t="s">
        <v>43</v>
      </c>
      <c r="AF368" s="1"/>
      <c r="AG368" s="1" t="s">
        <v>43</v>
      </c>
      <c r="AH368" s="2">
        <v>45978</v>
      </c>
    </row>
    <row r="369" spans="1:34" x14ac:dyDescent="0.3">
      <c r="A369" s="1">
        <v>153512</v>
      </c>
      <c r="B369" s="1">
        <v>8.3699999999999992</v>
      </c>
      <c r="C369" s="1">
        <v>21.9</v>
      </c>
      <c r="D369" s="1">
        <v>23.9</v>
      </c>
      <c r="E369" s="1" t="s">
        <v>43</v>
      </c>
      <c r="F369" s="1">
        <v>0</v>
      </c>
      <c r="G369" s="1" t="s">
        <v>1443</v>
      </c>
      <c r="H369" s="1" t="s">
        <v>1444</v>
      </c>
      <c r="I369" s="1" t="str">
        <f>HYPERLINK("https://www.systembolaget.se/produkt/ol/paulaner-153512/","https://www.systembolaget.se/produkt/ol/paulaner-153512/")</f>
        <v>https://www.systembolaget.se/produkt/ol/paulaner-153512/</v>
      </c>
      <c r="J369" s="1">
        <v>8.3699999999999992</v>
      </c>
      <c r="K369" s="1">
        <v>8.3699999999999992</v>
      </c>
      <c r="L369" s="2">
        <v>45894</v>
      </c>
      <c r="M369" s="1" t="s">
        <v>1445</v>
      </c>
      <c r="N369" s="1">
        <v>1.26</v>
      </c>
      <c r="O369" s="1">
        <v>500</v>
      </c>
      <c r="P369" s="1">
        <v>5.5</v>
      </c>
      <c r="Q369" s="1" t="s">
        <v>107</v>
      </c>
      <c r="R369" s="1" t="s">
        <v>1446</v>
      </c>
      <c r="S369" s="1" t="s">
        <v>1447</v>
      </c>
      <c r="T369" s="1"/>
      <c r="U369" s="1" t="s">
        <v>119</v>
      </c>
      <c r="V369" s="1"/>
      <c r="W369" s="1"/>
      <c r="X369" s="1" t="s">
        <v>1448</v>
      </c>
      <c r="Y369" s="1" t="s">
        <v>1337</v>
      </c>
      <c r="Z369" s="1" t="s">
        <v>43</v>
      </c>
      <c r="AA369" s="1"/>
      <c r="AB369" s="1" t="s">
        <v>114</v>
      </c>
      <c r="AC369" s="1" t="s">
        <v>90</v>
      </c>
      <c r="AD369" s="1" t="s">
        <v>43</v>
      </c>
      <c r="AE369" s="1" t="s">
        <v>43</v>
      </c>
      <c r="AF369" s="1"/>
      <c r="AG369" s="1" t="s">
        <v>43</v>
      </c>
      <c r="AH369" s="2">
        <v>45901</v>
      </c>
    </row>
    <row r="370" spans="1:34" x14ac:dyDescent="0.3">
      <c r="A370" s="1">
        <v>153532</v>
      </c>
      <c r="B370" s="1">
        <v>8.3699999999999992</v>
      </c>
      <c r="C370" s="1">
        <v>21.9</v>
      </c>
      <c r="D370" s="1">
        <v>23.9</v>
      </c>
      <c r="E370" s="1" t="s">
        <v>43</v>
      </c>
      <c r="F370" s="1">
        <v>0</v>
      </c>
      <c r="G370" s="1" t="s">
        <v>1443</v>
      </c>
      <c r="H370" s="1" t="s">
        <v>1444</v>
      </c>
      <c r="I370" s="1" t="str">
        <f>HYPERLINK("https://www.systembolaget.se/produkt/ol/paulaner-153532/","https://www.systembolaget.se/produkt/ol/paulaner-153532/")</f>
        <v>https://www.systembolaget.se/produkt/ol/paulaner-153532/</v>
      </c>
      <c r="J370" s="1"/>
      <c r="K370" s="1">
        <v>8.3699999999999992</v>
      </c>
      <c r="L370" s="2">
        <v>46047</v>
      </c>
      <c r="M370" s="1" t="s">
        <v>1445</v>
      </c>
      <c r="N370" s="1">
        <v>1.26</v>
      </c>
      <c r="O370" s="1">
        <v>500</v>
      </c>
      <c r="P370" s="1">
        <v>5.5</v>
      </c>
      <c r="Q370" s="1" t="s">
        <v>107</v>
      </c>
      <c r="R370" s="1" t="s">
        <v>1446</v>
      </c>
      <c r="S370" s="1" t="s">
        <v>1447</v>
      </c>
      <c r="T370" s="1"/>
      <c r="U370" s="1" t="s">
        <v>119</v>
      </c>
      <c r="V370" s="1"/>
      <c r="W370" s="1"/>
      <c r="X370" s="1" t="s">
        <v>1448</v>
      </c>
      <c r="Y370" s="1" t="s">
        <v>1337</v>
      </c>
      <c r="Z370" s="1" t="s">
        <v>43</v>
      </c>
      <c r="AA370" s="1"/>
      <c r="AB370" s="1" t="s">
        <v>114</v>
      </c>
      <c r="AC370" s="1" t="s">
        <v>90</v>
      </c>
      <c r="AD370" s="1" t="s">
        <v>43</v>
      </c>
      <c r="AE370" s="1" t="s">
        <v>43</v>
      </c>
      <c r="AF370" s="1"/>
      <c r="AG370" s="1" t="s">
        <v>43</v>
      </c>
      <c r="AH370" s="2">
        <v>46054</v>
      </c>
    </row>
    <row r="371" spans="1:34" x14ac:dyDescent="0.3">
      <c r="A371" s="1">
        <v>7870901</v>
      </c>
      <c r="B371" s="1">
        <v>8.35</v>
      </c>
      <c r="C371" s="1">
        <v>549</v>
      </c>
      <c r="D371" s="1">
        <v>599</v>
      </c>
      <c r="E371" s="1" t="s">
        <v>43</v>
      </c>
      <c r="F371" s="1">
        <v>0</v>
      </c>
      <c r="G371" s="1" t="s">
        <v>1449</v>
      </c>
      <c r="H371" s="1" t="s">
        <v>812</v>
      </c>
      <c r="I371" s="1" t="str">
        <f>HYPERLINK("https://www.systembolaget.se/produkt/vin/graacher-himmelreich-auslese-7870901/","https://www.systembolaget.se/produkt/vin/graacher-himmelreich-auslese-7870901/")</f>
        <v>https://www.systembolaget.se/produkt/vin/graacher-himmelreich-auslese-7870901/</v>
      </c>
      <c r="J371" s="1"/>
      <c r="K371" s="1">
        <v>8.35</v>
      </c>
      <c r="L371" s="2">
        <v>46001</v>
      </c>
      <c r="M371" s="1" t="s">
        <v>1450</v>
      </c>
      <c r="N371" s="1">
        <v>0.11</v>
      </c>
      <c r="O371" s="1">
        <v>750</v>
      </c>
      <c r="P371" s="1">
        <v>8</v>
      </c>
      <c r="Q371" s="1" t="s">
        <v>38</v>
      </c>
      <c r="R371" s="1" t="s">
        <v>39</v>
      </c>
      <c r="S371" s="1"/>
      <c r="T371" s="1"/>
      <c r="U371" s="1" t="s">
        <v>119</v>
      </c>
      <c r="V371" s="1" t="s">
        <v>814</v>
      </c>
      <c r="W371" s="1"/>
      <c r="X371" s="1" t="s">
        <v>815</v>
      </c>
      <c r="Y371" s="1" t="s">
        <v>678</v>
      </c>
      <c r="Z371" s="1" t="s">
        <v>43</v>
      </c>
      <c r="AA371" s="1">
        <v>2023</v>
      </c>
      <c r="AB371" s="1" t="s">
        <v>44</v>
      </c>
      <c r="AC371" s="1" t="s">
        <v>45</v>
      </c>
      <c r="AD371" s="1" t="s">
        <v>43</v>
      </c>
      <c r="AE371" s="1" t="s">
        <v>43</v>
      </c>
      <c r="AF371" s="1"/>
      <c r="AG371" s="1" t="s">
        <v>43</v>
      </c>
      <c r="AH371" s="2">
        <v>46008</v>
      </c>
    </row>
    <row r="372" spans="1:34" x14ac:dyDescent="0.3">
      <c r="A372" s="1">
        <v>7570101</v>
      </c>
      <c r="B372" s="1">
        <v>8.34</v>
      </c>
      <c r="C372" s="1">
        <v>1649</v>
      </c>
      <c r="D372" s="1">
        <v>1799</v>
      </c>
      <c r="E372" s="1" t="s">
        <v>43</v>
      </c>
      <c r="F372" s="1">
        <v>0</v>
      </c>
      <c r="G372" s="1" t="s">
        <v>1451</v>
      </c>
      <c r="H372" s="1" t="s">
        <v>1452</v>
      </c>
      <c r="I372" s="1" t="str">
        <f>HYPERLINK("https://www.systembolaget.se/produkt/vin/le-corton-grand-cru-domaine-7570101/","https://www.systembolaget.se/produkt/vin/le-corton-grand-cru-domaine-7570101/")</f>
        <v>https://www.systembolaget.se/produkt/vin/le-corton-grand-cru-domaine-7570101/</v>
      </c>
      <c r="J372" s="1">
        <v>8.34</v>
      </c>
      <c r="K372" s="1">
        <v>8.34</v>
      </c>
      <c r="L372" s="2">
        <v>45581</v>
      </c>
      <c r="M372" s="1" t="s">
        <v>1453</v>
      </c>
      <c r="N372" s="1">
        <v>0.06</v>
      </c>
      <c r="O372" s="1">
        <v>750</v>
      </c>
      <c r="P372" s="1">
        <v>13.5</v>
      </c>
      <c r="Q372" s="1" t="s">
        <v>38</v>
      </c>
      <c r="R372" s="1" t="s">
        <v>52</v>
      </c>
      <c r="S372" s="1"/>
      <c r="T372" s="1"/>
      <c r="U372" s="1" t="s">
        <v>101</v>
      </c>
      <c r="V372" s="1" t="s">
        <v>142</v>
      </c>
      <c r="W372" s="1" t="s">
        <v>143</v>
      </c>
      <c r="X372" s="1" t="s">
        <v>1176</v>
      </c>
      <c r="Y372" s="1" t="s">
        <v>678</v>
      </c>
      <c r="Z372" s="1" t="s">
        <v>43</v>
      </c>
      <c r="AA372" s="1">
        <v>2021</v>
      </c>
      <c r="AB372" s="1" t="s">
        <v>44</v>
      </c>
      <c r="AC372" s="1" t="s">
        <v>45</v>
      </c>
      <c r="AD372" s="1" t="s">
        <v>43</v>
      </c>
      <c r="AE372" s="1" t="s">
        <v>43</v>
      </c>
      <c r="AF372" s="1"/>
      <c r="AG372" s="1" t="s">
        <v>43</v>
      </c>
      <c r="AH372" s="2">
        <v>45588</v>
      </c>
    </row>
    <row r="373" spans="1:34" x14ac:dyDescent="0.3">
      <c r="A373" s="1">
        <v>7535601</v>
      </c>
      <c r="B373" s="1">
        <v>8.33</v>
      </c>
      <c r="C373" s="1">
        <v>10999</v>
      </c>
      <c r="D373" s="1">
        <v>11999</v>
      </c>
      <c r="E373" s="1" t="s">
        <v>43</v>
      </c>
      <c r="F373" s="1">
        <v>0</v>
      </c>
      <c r="G373" s="1" t="s">
        <v>1454</v>
      </c>
      <c r="H373" s="1" t="s">
        <v>1452</v>
      </c>
      <c r="I373" s="1" t="str">
        <f>HYPERLINK("https://www.systembolaget.se/produkt/vin/montrachet-grand-cru-domaine-7535601/","https://www.systembolaget.se/produkt/vin/montrachet-grand-cru-domaine-7535601/")</f>
        <v>https://www.systembolaget.se/produkt/vin/montrachet-grand-cru-domaine-7535601/</v>
      </c>
      <c r="J373" s="1">
        <v>8.33</v>
      </c>
      <c r="K373" s="1">
        <v>8.33</v>
      </c>
      <c r="L373" s="2">
        <v>45581</v>
      </c>
      <c r="M373" s="1" t="s">
        <v>1455</v>
      </c>
      <c r="N373" s="1">
        <v>0.01</v>
      </c>
      <c r="O373" s="1">
        <v>750</v>
      </c>
      <c r="P373" s="1">
        <v>13.5</v>
      </c>
      <c r="Q373" s="1" t="s">
        <v>38</v>
      </c>
      <c r="R373" s="1" t="s">
        <v>39</v>
      </c>
      <c r="S373" s="1"/>
      <c r="T373" s="1"/>
      <c r="U373" s="1" t="s">
        <v>101</v>
      </c>
      <c r="V373" s="1" t="s">
        <v>142</v>
      </c>
      <c r="W373" s="1" t="s">
        <v>143</v>
      </c>
      <c r="X373" s="1" t="s">
        <v>1176</v>
      </c>
      <c r="Y373" s="1" t="s">
        <v>678</v>
      </c>
      <c r="Z373" s="1" t="s">
        <v>43</v>
      </c>
      <c r="AA373" s="1">
        <v>2021</v>
      </c>
      <c r="AB373" s="1" t="s">
        <v>44</v>
      </c>
      <c r="AC373" s="1" t="s">
        <v>45</v>
      </c>
      <c r="AD373" s="1" t="s">
        <v>43</v>
      </c>
      <c r="AE373" s="1" t="s">
        <v>43</v>
      </c>
      <c r="AF373" s="1"/>
      <c r="AG373" s="1" t="s">
        <v>43</v>
      </c>
      <c r="AH373" s="2">
        <v>45588</v>
      </c>
    </row>
    <row r="374" spans="1:34" x14ac:dyDescent="0.3">
      <c r="A374" s="1">
        <v>30301</v>
      </c>
      <c r="B374" s="1">
        <v>8.32</v>
      </c>
      <c r="C374" s="1">
        <v>595</v>
      </c>
      <c r="D374" s="1">
        <v>649</v>
      </c>
      <c r="E374" s="1" t="s">
        <v>43</v>
      </c>
      <c r="F374" s="1">
        <v>0</v>
      </c>
      <c r="G374" s="1" t="s">
        <v>1456</v>
      </c>
      <c r="H374" s="1" t="s">
        <v>1457</v>
      </c>
      <c r="I374" s="1" t="str">
        <f>HYPERLINK("https://www.systembolaget.se/produkt/sprit/kilchoman-30301/","https://www.systembolaget.se/produkt/sprit/kilchoman-30301/")</f>
        <v>https://www.systembolaget.se/produkt/sprit/kilchoman-30301/</v>
      </c>
      <c r="J374" s="1">
        <v>13.64</v>
      </c>
      <c r="K374" s="1">
        <v>8.32</v>
      </c>
      <c r="L374" s="2">
        <v>45696</v>
      </c>
      <c r="M374" s="1" t="s">
        <v>1458</v>
      </c>
      <c r="N374" s="1">
        <v>0.59</v>
      </c>
      <c r="O374" s="1">
        <v>700</v>
      </c>
      <c r="P374" s="1">
        <v>50</v>
      </c>
      <c r="Q374" s="1" t="s">
        <v>308</v>
      </c>
      <c r="R374" s="1" t="s">
        <v>309</v>
      </c>
      <c r="S374" s="1" t="s">
        <v>318</v>
      </c>
      <c r="T374" s="1"/>
      <c r="U374" s="1" t="s">
        <v>253</v>
      </c>
      <c r="V374" s="1" t="s">
        <v>254</v>
      </c>
      <c r="W374" s="1" t="s">
        <v>641</v>
      </c>
      <c r="X374" s="1" t="s">
        <v>1459</v>
      </c>
      <c r="Y374" s="1" t="s">
        <v>1460</v>
      </c>
      <c r="Z374" s="1" t="s">
        <v>43</v>
      </c>
      <c r="AA374" s="1"/>
      <c r="AB374" s="1" t="s">
        <v>44</v>
      </c>
      <c r="AC374" s="1" t="s">
        <v>90</v>
      </c>
      <c r="AD374" s="1" t="s">
        <v>43</v>
      </c>
      <c r="AE374" s="1" t="s">
        <v>43</v>
      </c>
      <c r="AF374" s="1">
        <v>2</v>
      </c>
      <c r="AG374" s="1" t="s">
        <v>43</v>
      </c>
      <c r="AH374" s="2">
        <v>45717</v>
      </c>
    </row>
    <row r="375" spans="1:34" x14ac:dyDescent="0.3">
      <c r="A375" s="1">
        <v>3139115</v>
      </c>
      <c r="B375" s="1">
        <v>8.2899999999999991</v>
      </c>
      <c r="C375" s="1">
        <v>19.899999999999999</v>
      </c>
      <c r="D375" s="1">
        <v>21.7</v>
      </c>
      <c r="E375" s="1" t="s">
        <v>43</v>
      </c>
      <c r="F375" s="1">
        <v>0</v>
      </c>
      <c r="G375" s="1" t="s">
        <v>1461</v>
      </c>
      <c r="H375" s="1" t="s">
        <v>1462</v>
      </c>
      <c r="I375" s="1" t="str">
        <f>HYPERLINK("https://www.systembolaget.se/produkt/ol/beerbliotek-3139115/","https://www.systembolaget.se/produkt/ol/beerbliotek-3139115/")</f>
        <v>https://www.systembolaget.se/produkt/ol/beerbliotek-3139115/</v>
      </c>
      <c r="J375" s="1">
        <v>8.2899999999999991</v>
      </c>
      <c r="K375" s="1">
        <v>8.2899999999999991</v>
      </c>
      <c r="L375" s="2">
        <v>45507</v>
      </c>
      <c r="M375" s="1" t="s">
        <v>1463</v>
      </c>
      <c r="N375" s="1">
        <v>0.75</v>
      </c>
      <c r="O375" s="1">
        <v>330</v>
      </c>
      <c r="P375" s="1">
        <v>4.5</v>
      </c>
      <c r="Q375" s="1" t="s">
        <v>107</v>
      </c>
      <c r="R375" s="1" t="s">
        <v>134</v>
      </c>
      <c r="S375" s="1" t="s">
        <v>243</v>
      </c>
      <c r="T375" s="1"/>
      <c r="U375" s="1" t="s">
        <v>110</v>
      </c>
      <c r="V375" s="1" t="s">
        <v>136</v>
      </c>
      <c r="W375" s="1" t="s">
        <v>137</v>
      </c>
      <c r="X375" s="1" t="s">
        <v>1461</v>
      </c>
      <c r="Y375" s="1" t="s">
        <v>1464</v>
      </c>
      <c r="Z375" s="1" t="s">
        <v>43</v>
      </c>
      <c r="AA375" s="1"/>
      <c r="AB375" s="1" t="s">
        <v>114</v>
      </c>
      <c r="AC375" s="1" t="s">
        <v>115</v>
      </c>
      <c r="AD375" s="1" t="s">
        <v>43</v>
      </c>
      <c r="AE375" s="1" t="s">
        <v>43</v>
      </c>
      <c r="AF375" s="1"/>
      <c r="AG375" s="1" t="s">
        <v>43</v>
      </c>
      <c r="AH375" s="2">
        <v>45446</v>
      </c>
    </row>
    <row r="376" spans="1:34" x14ac:dyDescent="0.3">
      <c r="A376" s="1">
        <v>7875108</v>
      </c>
      <c r="B376" s="1">
        <v>8.26</v>
      </c>
      <c r="C376" s="1">
        <v>9999</v>
      </c>
      <c r="D376" s="1">
        <v>10899</v>
      </c>
      <c r="E376" s="1" t="s">
        <v>43</v>
      </c>
      <c r="F376" s="1">
        <v>0</v>
      </c>
      <c r="G376" s="1" t="s">
        <v>1465</v>
      </c>
      <c r="H376" s="1" t="s">
        <v>1137</v>
      </c>
      <c r="I376" s="1" t="str">
        <f>HYPERLINK("https://www.systembolaget.se/produkt/vin/charmes-chambertin-les-mazoyeres-grand-cru-7875108/","https://www.systembolaget.se/produkt/vin/charmes-chambertin-les-mazoyeres-grand-cru-7875108/")</f>
        <v>https://www.systembolaget.se/produkt/vin/charmes-chambertin-les-mazoyeres-grand-cru-7875108/</v>
      </c>
      <c r="J376" s="1">
        <v>8.26</v>
      </c>
      <c r="K376" s="1">
        <v>8.26</v>
      </c>
      <c r="L376" s="2">
        <v>45860</v>
      </c>
      <c r="M376" s="1" t="s">
        <v>1466</v>
      </c>
      <c r="N376" s="1">
        <v>0.04</v>
      </c>
      <c r="O376" s="1">
        <v>3000</v>
      </c>
      <c r="P376" s="1">
        <v>13</v>
      </c>
      <c r="Q376" s="1" t="s">
        <v>38</v>
      </c>
      <c r="R376" s="1" t="s">
        <v>52</v>
      </c>
      <c r="S376" s="1"/>
      <c r="T376" s="1"/>
      <c r="U376" s="1" t="s">
        <v>101</v>
      </c>
      <c r="V376" s="1" t="s">
        <v>142</v>
      </c>
      <c r="W376" s="1" t="s">
        <v>725</v>
      </c>
      <c r="X376" s="1" t="s">
        <v>1137</v>
      </c>
      <c r="Y376" s="1" t="s">
        <v>678</v>
      </c>
      <c r="Z376" s="1" t="s">
        <v>46</v>
      </c>
      <c r="AA376" s="1">
        <v>2018</v>
      </c>
      <c r="AB376" s="1" t="s">
        <v>44</v>
      </c>
      <c r="AC376" s="1" t="s">
        <v>45</v>
      </c>
      <c r="AD376" s="1" t="s">
        <v>43</v>
      </c>
      <c r="AE376" s="1" t="s">
        <v>43</v>
      </c>
      <c r="AF376" s="1"/>
      <c r="AG376" s="1" t="s">
        <v>43</v>
      </c>
      <c r="AH376" s="2">
        <v>45852</v>
      </c>
    </row>
    <row r="377" spans="1:34" x14ac:dyDescent="0.3">
      <c r="A377" s="1">
        <v>7817601</v>
      </c>
      <c r="B377" s="1">
        <v>8.18</v>
      </c>
      <c r="C377" s="1">
        <v>449</v>
      </c>
      <c r="D377" s="1">
        <v>489</v>
      </c>
      <c r="E377" s="1" t="s">
        <v>43</v>
      </c>
      <c r="F377" s="1">
        <v>0</v>
      </c>
      <c r="G377" s="1" t="s">
        <v>1467</v>
      </c>
      <c r="H377" s="1" t="s">
        <v>1468</v>
      </c>
      <c r="I377" s="1" t="str">
        <f>HYPERLINK("https://www.systembolaget.se/produkt/vin/juwel-weine-7817601/","https://www.systembolaget.se/produkt/vin/juwel-weine-7817601/")</f>
        <v>https://www.systembolaget.se/produkt/vin/juwel-weine-7817601/</v>
      </c>
      <c r="J377" s="1"/>
      <c r="K377" s="1">
        <v>8.18</v>
      </c>
      <c r="L377" s="2">
        <v>46104</v>
      </c>
      <c r="M377" s="1" t="s">
        <v>1469</v>
      </c>
      <c r="N377" s="1">
        <v>0.22</v>
      </c>
      <c r="O377" s="1">
        <v>750</v>
      </c>
      <c r="P377" s="1">
        <v>13</v>
      </c>
      <c r="Q377" s="1" t="s">
        <v>38</v>
      </c>
      <c r="R377" s="1" t="s">
        <v>39</v>
      </c>
      <c r="S377" s="1"/>
      <c r="T377" s="1"/>
      <c r="U377" s="1" t="s">
        <v>119</v>
      </c>
      <c r="V377" s="1"/>
      <c r="W377" s="1"/>
      <c r="X377" s="1" t="s">
        <v>1467</v>
      </c>
      <c r="Y377" s="1" t="s">
        <v>905</v>
      </c>
      <c r="Z377" s="1" t="s">
        <v>43</v>
      </c>
      <c r="AA377" s="1">
        <v>2022</v>
      </c>
      <c r="AB377" s="1" t="s">
        <v>44</v>
      </c>
      <c r="AC377" s="1" t="s">
        <v>45</v>
      </c>
      <c r="AD377" s="1" t="s">
        <v>43</v>
      </c>
      <c r="AE377" s="1" t="s">
        <v>43</v>
      </c>
      <c r="AF377" s="1"/>
      <c r="AG377" s="1" t="s">
        <v>43</v>
      </c>
      <c r="AH377" s="2">
        <v>46111</v>
      </c>
    </row>
    <row r="378" spans="1:34" x14ac:dyDescent="0.3">
      <c r="A378" s="1">
        <v>9264201</v>
      </c>
      <c r="B378" s="1">
        <v>8.17</v>
      </c>
      <c r="C378" s="1">
        <v>899</v>
      </c>
      <c r="D378" s="1">
        <v>979</v>
      </c>
      <c r="E378" s="1" t="s">
        <v>43</v>
      </c>
      <c r="F378" s="1">
        <v>0</v>
      </c>
      <c r="G378" s="1" t="s">
        <v>1202</v>
      </c>
      <c r="H378" s="1" t="s">
        <v>1470</v>
      </c>
      <c r="I378" s="1" t="str">
        <f>HYPERLINK("https://www.systembolaget.se/produkt/vin/barolo-monvigliero-9264201/","https://www.systembolaget.se/produkt/vin/barolo-monvigliero-9264201/")</f>
        <v>https://www.systembolaget.se/produkt/vin/barolo-monvigliero-9264201/</v>
      </c>
      <c r="J378" s="1">
        <v>3.23</v>
      </c>
      <c r="K378" s="1">
        <v>8.17</v>
      </c>
      <c r="L378" s="2">
        <v>45575</v>
      </c>
      <c r="M378" s="1" t="s">
        <v>1471</v>
      </c>
      <c r="N378" s="1">
        <v>0.12</v>
      </c>
      <c r="O378" s="1">
        <v>750</v>
      </c>
      <c r="P378" s="1">
        <v>14.5</v>
      </c>
      <c r="Q378" s="1" t="s">
        <v>38</v>
      </c>
      <c r="R378" s="1" t="s">
        <v>52</v>
      </c>
      <c r="S378" s="1"/>
      <c r="T378" s="1"/>
      <c r="U378" s="1" t="s">
        <v>53</v>
      </c>
      <c r="V378" s="1" t="s">
        <v>95</v>
      </c>
      <c r="W378" s="1" t="s">
        <v>969</v>
      </c>
      <c r="X378" s="1" t="s">
        <v>1470</v>
      </c>
      <c r="Y378" s="1" t="s">
        <v>678</v>
      </c>
      <c r="Z378" s="1" t="s">
        <v>43</v>
      </c>
      <c r="AA378" s="1">
        <v>2020</v>
      </c>
      <c r="AB378" s="1" t="s">
        <v>44</v>
      </c>
      <c r="AC378" s="1" t="s">
        <v>45</v>
      </c>
      <c r="AD378" s="1" t="s">
        <v>43</v>
      </c>
      <c r="AE378" s="1" t="s">
        <v>43</v>
      </c>
      <c r="AF378" s="1"/>
      <c r="AG378" s="1" t="s">
        <v>43</v>
      </c>
      <c r="AH378" s="2">
        <v>45596</v>
      </c>
    </row>
    <row r="379" spans="1:34" x14ac:dyDescent="0.3">
      <c r="A379" s="1">
        <v>7671001</v>
      </c>
      <c r="B379" s="1">
        <v>8.07</v>
      </c>
      <c r="C379" s="1">
        <v>2849</v>
      </c>
      <c r="D379" s="1">
        <v>3099</v>
      </c>
      <c r="E379" s="1" t="s">
        <v>43</v>
      </c>
      <c r="F379" s="1">
        <v>0</v>
      </c>
      <c r="G379" s="1" t="s">
        <v>1278</v>
      </c>
      <c r="H379" s="1" t="s">
        <v>1137</v>
      </c>
      <c r="I379" s="1" t="str">
        <f>HYPERLINK("https://www.systembolaget.se/produkt/vin/clos-de-vougeot-grand-cru-7671001/","https://www.systembolaget.se/produkt/vin/clos-de-vougeot-grand-cru-7671001/")</f>
        <v>https://www.systembolaget.se/produkt/vin/clos-de-vougeot-grand-cru-7671001/</v>
      </c>
      <c r="J379" s="1">
        <v>8.07</v>
      </c>
      <c r="K379" s="1">
        <v>8.07</v>
      </c>
      <c r="L379" s="2">
        <v>45952</v>
      </c>
      <c r="M379" s="1" t="s">
        <v>1472</v>
      </c>
      <c r="N379" s="1">
        <v>0.03</v>
      </c>
      <c r="O379" s="1">
        <v>750</v>
      </c>
      <c r="P379" s="1">
        <v>13</v>
      </c>
      <c r="Q379" s="1" t="s">
        <v>38</v>
      </c>
      <c r="R379" s="1" t="s">
        <v>52</v>
      </c>
      <c r="S379" s="1"/>
      <c r="T379" s="1"/>
      <c r="U379" s="1" t="s">
        <v>101</v>
      </c>
      <c r="V379" s="1" t="s">
        <v>142</v>
      </c>
      <c r="W379" s="1" t="s">
        <v>725</v>
      </c>
      <c r="X379" s="1" t="s">
        <v>1137</v>
      </c>
      <c r="Y379" s="1" t="s">
        <v>678</v>
      </c>
      <c r="Z379" s="1" t="s">
        <v>46</v>
      </c>
      <c r="AA379" s="1">
        <v>2022</v>
      </c>
      <c r="AB379" s="1" t="s">
        <v>44</v>
      </c>
      <c r="AC379" s="1" t="s">
        <v>45</v>
      </c>
      <c r="AD379" s="1" t="s">
        <v>43</v>
      </c>
      <c r="AE379" s="1" t="s">
        <v>43</v>
      </c>
      <c r="AF379" s="1"/>
      <c r="AG379" s="1" t="s">
        <v>43</v>
      </c>
      <c r="AH379" s="2">
        <v>45959</v>
      </c>
    </row>
    <row r="380" spans="1:34" x14ac:dyDescent="0.3">
      <c r="A380" s="1">
        <v>9495501</v>
      </c>
      <c r="B380" s="1">
        <v>8.06</v>
      </c>
      <c r="C380" s="1">
        <v>799</v>
      </c>
      <c r="D380" s="1">
        <v>869</v>
      </c>
      <c r="E380" s="1" t="s">
        <v>43</v>
      </c>
      <c r="F380" s="1">
        <v>0</v>
      </c>
      <c r="G380" s="1" t="s">
        <v>1202</v>
      </c>
      <c r="H380" s="1" t="s">
        <v>971</v>
      </c>
      <c r="I380" s="1" t="str">
        <f>HYPERLINK("https://www.systembolaget.se/produkt/vin/barolo-monvigliero-9495501/","https://www.systembolaget.se/produkt/vin/barolo-monvigliero-9495501/")</f>
        <v>https://www.systembolaget.se/produkt/vin/barolo-monvigliero-9495501/</v>
      </c>
      <c r="J380" s="1">
        <v>5.89</v>
      </c>
      <c r="K380" s="1">
        <v>8.06</v>
      </c>
      <c r="L380" s="2">
        <v>45389</v>
      </c>
      <c r="M380" s="1" t="s">
        <v>1473</v>
      </c>
      <c r="N380" s="1">
        <v>0.13</v>
      </c>
      <c r="O380" s="1">
        <v>750</v>
      </c>
      <c r="P380" s="1">
        <v>14</v>
      </c>
      <c r="Q380" s="1" t="s">
        <v>38</v>
      </c>
      <c r="R380" s="1" t="s">
        <v>52</v>
      </c>
      <c r="S380" s="1"/>
      <c r="T380" s="1"/>
      <c r="U380" s="1" t="s">
        <v>53</v>
      </c>
      <c r="V380" s="1" t="s">
        <v>95</v>
      </c>
      <c r="W380" s="1" t="s">
        <v>969</v>
      </c>
      <c r="X380" s="1" t="s">
        <v>971</v>
      </c>
      <c r="Y380" s="1" t="s">
        <v>678</v>
      </c>
      <c r="Z380" s="1" t="s">
        <v>43</v>
      </c>
      <c r="AA380" s="1">
        <v>2019</v>
      </c>
      <c r="AB380" s="1" t="s">
        <v>44</v>
      </c>
      <c r="AC380" s="1" t="s">
        <v>45</v>
      </c>
      <c r="AD380" s="1" t="s">
        <v>43</v>
      </c>
      <c r="AE380" s="1" t="s">
        <v>43</v>
      </c>
      <c r="AF380" s="1"/>
      <c r="AG380" s="1" t="s">
        <v>43</v>
      </c>
      <c r="AH380" s="2">
        <v>45372</v>
      </c>
    </row>
    <row r="381" spans="1:34" x14ac:dyDescent="0.3">
      <c r="A381" s="1">
        <v>7753901</v>
      </c>
      <c r="B381" s="1">
        <v>8.0500000000000007</v>
      </c>
      <c r="C381" s="1">
        <v>7999</v>
      </c>
      <c r="D381" s="1">
        <v>8699</v>
      </c>
      <c r="E381" s="1" t="s">
        <v>43</v>
      </c>
      <c r="F381" s="1">
        <v>0</v>
      </c>
      <c r="G381" s="1" t="s">
        <v>1410</v>
      </c>
      <c r="H381" s="1" t="s">
        <v>1137</v>
      </c>
      <c r="I381" s="1" t="str">
        <f>HYPERLINK("https://www.systembolaget.se/produkt/vin/musigny-grand-cru-7753901/","https://www.systembolaget.se/produkt/vin/musigny-grand-cru-7753901/")</f>
        <v>https://www.systembolaget.se/produkt/vin/musigny-grand-cru-7753901/</v>
      </c>
      <c r="J381" s="1"/>
      <c r="K381" s="1">
        <v>8.0500000000000007</v>
      </c>
      <c r="L381" s="2">
        <v>45994</v>
      </c>
      <c r="M381" s="1" t="s">
        <v>1474</v>
      </c>
      <c r="N381" s="1">
        <v>0.01</v>
      </c>
      <c r="O381" s="1">
        <v>750</v>
      </c>
      <c r="P381" s="1">
        <v>13</v>
      </c>
      <c r="Q381" s="1" t="s">
        <v>38</v>
      </c>
      <c r="R381" s="1" t="s">
        <v>52</v>
      </c>
      <c r="S381" s="1"/>
      <c r="T381" s="1"/>
      <c r="U381" s="1" t="s">
        <v>101</v>
      </c>
      <c r="V381" s="1" t="s">
        <v>142</v>
      </c>
      <c r="W381" s="1" t="s">
        <v>725</v>
      </c>
      <c r="X381" s="1" t="s">
        <v>1137</v>
      </c>
      <c r="Y381" s="1" t="s">
        <v>678</v>
      </c>
      <c r="Z381" s="1" t="s">
        <v>46</v>
      </c>
      <c r="AA381" s="1">
        <v>2020</v>
      </c>
      <c r="AB381" s="1" t="s">
        <v>44</v>
      </c>
      <c r="AC381" s="1" t="s">
        <v>45</v>
      </c>
      <c r="AD381" s="1" t="s">
        <v>43</v>
      </c>
      <c r="AE381" s="1" t="s">
        <v>43</v>
      </c>
      <c r="AF381" s="1"/>
      <c r="AG381" s="1" t="s">
        <v>43</v>
      </c>
      <c r="AH381" s="2">
        <v>46001</v>
      </c>
    </row>
    <row r="382" spans="1:34" x14ac:dyDescent="0.3">
      <c r="A382" s="1">
        <v>3103335</v>
      </c>
      <c r="B382" s="1">
        <v>8.0299999999999994</v>
      </c>
      <c r="C382" s="1">
        <v>22.9</v>
      </c>
      <c r="D382" s="1">
        <v>24.9</v>
      </c>
      <c r="E382" s="1" t="s">
        <v>43</v>
      </c>
      <c r="F382" s="1">
        <v>0</v>
      </c>
      <c r="G382" s="1" t="s">
        <v>1475</v>
      </c>
      <c r="H382" s="1" t="s">
        <v>1476</v>
      </c>
      <c r="I382" s="1" t="str">
        <f>HYPERLINK("https://www.systembolaget.se/produkt/ol/brewski-3103335/","https://www.systembolaget.se/produkt/ol/brewski-3103335/")</f>
        <v>https://www.systembolaget.se/produkt/ol/brewski-3103335/</v>
      </c>
      <c r="J382" s="1"/>
      <c r="K382" s="1">
        <v>8.0299999999999994</v>
      </c>
      <c r="L382" s="2">
        <v>46104</v>
      </c>
      <c r="M382" s="1" t="s">
        <v>1477</v>
      </c>
      <c r="N382" s="1">
        <v>0.72</v>
      </c>
      <c r="O382" s="1">
        <v>330</v>
      </c>
      <c r="P382" s="1">
        <v>5</v>
      </c>
      <c r="Q382" s="1" t="s">
        <v>107</v>
      </c>
      <c r="R382" s="1" t="s">
        <v>108</v>
      </c>
      <c r="S382" s="1" t="s">
        <v>1478</v>
      </c>
      <c r="T382" s="1"/>
      <c r="U382" s="1" t="s">
        <v>110</v>
      </c>
      <c r="V382" s="1" t="s">
        <v>694</v>
      </c>
      <c r="W382" s="1" t="s">
        <v>695</v>
      </c>
      <c r="X382" s="1" t="s">
        <v>1475</v>
      </c>
      <c r="Y382" s="1" t="s">
        <v>1479</v>
      </c>
      <c r="Z382" s="1" t="s">
        <v>43</v>
      </c>
      <c r="AA382" s="1"/>
      <c r="AB382" s="1" t="s">
        <v>114</v>
      </c>
      <c r="AC382" s="1" t="s">
        <v>115</v>
      </c>
      <c r="AD382" s="1" t="s">
        <v>43</v>
      </c>
      <c r="AE382" s="1" t="s">
        <v>43</v>
      </c>
      <c r="AF382" s="1"/>
      <c r="AG382" s="1" t="s">
        <v>43</v>
      </c>
      <c r="AH382" s="2">
        <v>46125</v>
      </c>
    </row>
    <row r="383" spans="1:34" x14ac:dyDescent="0.3">
      <c r="A383" s="1">
        <v>5194601</v>
      </c>
      <c r="B383" s="1">
        <v>8.0299999999999994</v>
      </c>
      <c r="C383" s="1">
        <v>229</v>
      </c>
      <c r="D383" s="1">
        <v>249</v>
      </c>
      <c r="E383" s="1" t="s">
        <v>459</v>
      </c>
      <c r="F383" s="1">
        <v>0</v>
      </c>
      <c r="G383" s="1" t="s">
        <v>1480</v>
      </c>
      <c r="H383" s="1" t="s">
        <v>1481</v>
      </c>
      <c r="I383" s="1" t="str">
        <f>HYPERLINK("https://www.systembolaget.se/produkt/vin/the-laughing-magpie-5194601/","https://www.systembolaget.se/produkt/vin/the-laughing-magpie-5194601/")</f>
        <v>https://www.systembolaget.se/produkt/vin/the-laughing-magpie-5194601/</v>
      </c>
      <c r="J383" s="1">
        <v>8.0299999999999994</v>
      </c>
      <c r="K383" s="1">
        <v>8.0299999999999994</v>
      </c>
      <c r="L383" s="2">
        <v>45444</v>
      </c>
      <c r="M383" s="1" t="s">
        <v>1482</v>
      </c>
      <c r="N383" s="1">
        <v>0.47</v>
      </c>
      <c r="O383" s="1">
        <v>750</v>
      </c>
      <c r="P383" s="1">
        <v>14.5</v>
      </c>
      <c r="Q383" s="1" t="s">
        <v>38</v>
      </c>
      <c r="R383" s="1" t="s">
        <v>52</v>
      </c>
      <c r="S383" s="1"/>
      <c r="T383" s="1"/>
      <c r="U383" s="1" t="s">
        <v>149</v>
      </c>
      <c r="V383" s="1" t="s">
        <v>150</v>
      </c>
      <c r="W383" s="1" t="s">
        <v>1341</v>
      </c>
      <c r="X383" s="1" t="s">
        <v>1342</v>
      </c>
      <c r="Y383" s="1" t="s">
        <v>219</v>
      </c>
      <c r="Z383" s="1" t="s">
        <v>43</v>
      </c>
      <c r="AA383" s="1">
        <v>2016</v>
      </c>
      <c r="AB383" s="1" t="s">
        <v>77</v>
      </c>
      <c r="AC383" s="1" t="s">
        <v>45</v>
      </c>
      <c r="AD383" s="1" t="s">
        <v>43</v>
      </c>
      <c r="AE383" s="1" t="s">
        <v>43</v>
      </c>
      <c r="AF383" s="1"/>
      <c r="AG383" s="1" t="s">
        <v>43</v>
      </c>
      <c r="AH383" s="2">
        <v>44320</v>
      </c>
    </row>
    <row r="384" spans="1:34" x14ac:dyDescent="0.3">
      <c r="A384" s="1">
        <v>273701</v>
      </c>
      <c r="B384" s="1">
        <v>8.0299999999999994</v>
      </c>
      <c r="C384" s="1">
        <v>229</v>
      </c>
      <c r="D384" s="1">
        <v>249</v>
      </c>
      <c r="E384" s="1" t="s">
        <v>43</v>
      </c>
      <c r="F384" s="1">
        <v>0</v>
      </c>
      <c r="G384" s="1" t="s">
        <v>1483</v>
      </c>
      <c r="H384" s="1"/>
      <c r="I384" s="1" t="str">
        <f>HYPERLINK("https://www.systembolaget.se/produkt/vin/finca-el-puig-273701/","https://www.systembolaget.se/produkt/vin/finca-el-puig-273701/")</f>
        <v>https://www.systembolaget.se/produkt/vin/finca-el-puig-273701/</v>
      </c>
      <c r="J384" s="1">
        <v>8.0299999999999994</v>
      </c>
      <c r="K384" s="1">
        <v>8.0299999999999994</v>
      </c>
      <c r="L384" s="2">
        <v>45389</v>
      </c>
      <c r="M384" s="1" t="s">
        <v>1484</v>
      </c>
      <c r="N384" s="1">
        <v>0.49</v>
      </c>
      <c r="O384" s="1">
        <v>750</v>
      </c>
      <c r="P384" s="1">
        <v>15</v>
      </c>
      <c r="Q384" s="1" t="s">
        <v>38</v>
      </c>
      <c r="R384" s="1" t="s">
        <v>52</v>
      </c>
      <c r="S384" s="1" t="s">
        <v>687</v>
      </c>
      <c r="T384" s="1"/>
      <c r="U384" s="1" t="s">
        <v>164</v>
      </c>
      <c r="V384" s="1" t="s">
        <v>401</v>
      </c>
      <c r="W384" s="1" t="s">
        <v>1485</v>
      </c>
      <c r="X384" s="1" t="s">
        <v>1486</v>
      </c>
      <c r="Y384" s="1" t="s">
        <v>407</v>
      </c>
      <c r="Z384" s="1" t="s">
        <v>43</v>
      </c>
      <c r="AA384" s="1">
        <v>2023</v>
      </c>
      <c r="AB384" s="1" t="s">
        <v>44</v>
      </c>
      <c r="AC384" s="1" t="s">
        <v>90</v>
      </c>
      <c r="AD384" s="1" t="s">
        <v>43</v>
      </c>
      <c r="AE384" s="1" t="s">
        <v>43</v>
      </c>
      <c r="AF384" s="1">
        <v>2</v>
      </c>
      <c r="AG384" s="1" t="s">
        <v>43</v>
      </c>
      <c r="AH384" s="2">
        <v>39356</v>
      </c>
    </row>
    <row r="385" spans="1:34" x14ac:dyDescent="0.3">
      <c r="A385" s="1">
        <v>1234301</v>
      </c>
      <c r="B385" s="1">
        <v>8.0299999999999994</v>
      </c>
      <c r="C385" s="1">
        <v>229</v>
      </c>
      <c r="D385" s="1">
        <v>249</v>
      </c>
      <c r="E385" s="1" t="s">
        <v>43</v>
      </c>
      <c r="F385" s="1">
        <v>0</v>
      </c>
      <c r="G385" s="1" t="s">
        <v>1487</v>
      </c>
      <c r="H385" s="1" t="s">
        <v>1488</v>
      </c>
      <c r="I385" s="1" t="str">
        <f>HYPERLINK("https://www.systembolaget.se/produkt/vin/amarone-a-1234301/","https://www.systembolaget.se/produkt/vin/amarone-a-1234301/")</f>
        <v>https://www.systembolaget.se/produkt/vin/amarone-a-1234301/</v>
      </c>
      <c r="J385" s="1">
        <v>8.0299999999999994</v>
      </c>
      <c r="K385" s="1">
        <v>8.0299999999999994</v>
      </c>
      <c r="L385" s="2">
        <v>45389</v>
      </c>
      <c r="M385" s="1" t="s">
        <v>1489</v>
      </c>
      <c r="N385" s="1">
        <v>0.49</v>
      </c>
      <c r="O385" s="1">
        <v>750</v>
      </c>
      <c r="P385" s="1">
        <v>15</v>
      </c>
      <c r="Q385" s="1" t="s">
        <v>38</v>
      </c>
      <c r="R385" s="1" t="s">
        <v>52</v>
      </c>
      <c r="S385" s="1" t="s">
        <v>386</v>
      </c>
      <c r="T385" s="1"/>
      <c r="U385" s="1" t="s">
        <v>53</v>
      </c>
      <c r="V385" s="1" t="s">
        <v>202</v>
      </c>
      <c r="W385" s="1" t="s">
        <v>265</v>
      </c>
      <c r="X385" s="1" t="s">
        <v>1488</v>
      </c>
      <c r="Y385" s="1" t="s">
        <v>76</v>
      </c>
      <c r="Z385" s="1" t="s">
        <v>43</v>
      </c>
      <c r="AA385" s="1">
        <v>2023</v>
      </c>
      <c r="AB385" s="1" t="s">
        <v>44</v>
      </c>
      <c r="AC385" s="1" t="s">
        <v>90</v>
      </c>
      <c r="AD385" s="1" t="s">
        <v>43</v>
      </c>
      <c r="AE385" s="1" t="s">
        <v>43</v>
      </c>
      <c r="AF385" s="1">
        <v>6</v>
      </c>
      <c r="AG385" s="1" t="s">
        <v>43</v>
      </c>
      <c r="AH385" s="2">
        <v>39356</v>
      </c>
    </row>
    <row r="386" spans="1:34" x14ac:dyDescent="0.3">
      <c r="A386" s="1">
        <v>2011908</v>
      </c>
      <c r="B386" s="1">
        <v>8.0299999999999994</v>
      </c>
      <c r="C386" s="1">
        <v>229</v>
      </c>
      <c r="D386" s="1">
        <v>249</v>
      </c>
      <c r="E386" s="1" t="s">
        <v>43</v>
      </c>
      <c r="F386" s="1">
        <v>0</v>
      </c>
      <c r="G386" s="1" t="s">
        <v>492</v>
      </c>
      <c r="H386" s="1" t="s">
        <v>82</v>
      </c>
      <c r="I386" s="1" t="str">
        <f>HYPERLINK("https://www.systembolaget.se/produkt/vin/chill-out-2011908/","https://www.systembolaget.se/produkt/vin/chill-out-2011908/")</f>
        <v>https://www.systembolaget.se/produkt/vin/chill-out-2011908/</v>
      </c>
      <c r="J386" s="1">
        <v>4.18</v>
      </c>
      <c r="K386" s="1">
        <v>8.0299999999999994</v>
      </c>
      <c r="L386" s="2">
        <v>45696</v>
      </c>
      <c r="M386" s="1" t="s">
        <v>1489</v>
      </c>
      <c r="N386" s="1">
        <v>1.77</v>
      </c>
      <c r="O386" s="1">
        <v>3000</v>
      </c>
      <c r="P386" s="1">
        <v>13.5</v>
      </c>
      <c r="Q386" s="1" t="s">
        <v>38</v>
      </c>
      <c r="R386" s="1" t="s">
        <v>52</v>
      </c>
      <c r="S386" s="1" t="s">
        <v>84</v>
      </c>
      <c r="T386" s="1"/>
      <c r="U386" s="1" t="s">
        <v>85</v>
      </c>
      <c r="V386" s="1" t="s">
        <v>86</v>
      </c>
      <c r="W386" s="1" t="s">
        <v>87</v>
      </c>
      <c r="X386" s="1" t="s">
        <v>495</v>
      </c>
      <c r="Y386" s="1" t="s">
        <v>496</v>
      </c>
      <c r="Z386" s="1" t="s">
        <v>43</v>
      </c>
      <c r="AA386" s="1">
        <v>2025</v>
      </c>
      <c r="AB386" s="1" t="s">
        <v>654</v>
      </c>
      <c r="AC386" s="1" t="s">
        <v>90</v>
      </c>
      <c r="AD386" s="1" t="s">
        <v>43</v>
      </c>
      <c r="AE386" s="1" t="s">
        <v>43</v>
      </c>
      <c r="AF386" s="1">
        <v>2</v>
      </c>
      <c r="AG386" s="1" t="s">
        <v>46</v>
      </c>
      <c r="AH386" s="2">
        <v>45717</v>
      </c>
    </row>
    <row r="387" spans="1:34" x14ac:dyDescent="0.3">
      <c r="A387" s="1">
        <v>3019235</v>
      </c>
      <c r="B387" s="1">
        <v>8.0299999999999994</v>
      </c>
      <c r="C387" s="1">
        <v>22.9</v>
      </c>
      <c r="D387" s="1">
        <v>24.9</v>
      </c>
      <c r="E387" s="1" t="s">
        <v>43</v>
      </c>
      <c r="F387" s="1">
        <v>0</v>
      </c>
      <c r="G387" s="1" t="s">
        <v>1490</v>
      </c>
      <c r="H387" s="1" t="s">
        <v>1491</v>
      </c>
      <c r="I387" s="1" t="str">
        <f>HYPERLINK("https://www.systembolaget.se/produkt/ol/barlingbo-3019235/","https://www.systembolaget.se/produkt/ol/barlingbo-3019235/")</f>
        <v>https://www.systembolaget.se/produkt/ol/barlingbo-3019235/</v>
      </c>
      <c r="J387" s="1"/>
      <c r="K387" s="1">
        <v>8.0299999999999994</v>
      </c>
      <c r="L387" s="2">
        <v>46104</v>
      </c>
      <c r="M387" s="1" t="s">
        <v>1477</v>
      </c>
      <c r="N387" s="1">
        <v>0.69</v>
      </c>
      <c r="O387" s="1">
        <v>330</v>
      </c>
      <c r="P387" s="1">
        <v>4.8</v>
      </c>
      <c r="Q387" s="1" t="s">
        <v>107</v>
      </c>
      <c r="R387" s="1" t="s">
        <v>134</v>
      </c>
      <c r="S387" s="1" t="s">
        <v>885</v>
      </c>
      <c r="T387" s="1"/>
      <c r="U387" s="1" t="s">
        <v>110</v>
      </c>
      <c r="V387" s="1" t="s">
        <v>1492</v>
      </c>
      <c r="W387" s="1" t="s">
        <v>1493</v>
      </c>
      <c r="X387" s="1" t="s">
        <v>1494</v>
      </c>
      <c r="Y387" s="1" t="s">
        <v>1495</v>
      </c>
      <c r="Z387" s="1" t="s">
        <v>43</v>
      </c>
      <c r="AA387" s="1"/>
      <c r="AB387" s="1" t="s">
        <v>114</v>
      </c>
      <c r="AC387" s="1" t="s">
        <v>115</v>
      </c>
      <c r="AD387" s="1" t="s">
        <v>43</v>
      </c>
      <c r="AE387" s="1" t="s">
        <v>43</v>
      </c>
      <c r="AF387" s="1"/>
      <c r="AG387" s="1" t="s">
        <v>43</v>
      </c>
      <c r="AH387" s="2">
        <v>46125</v>
      </c>
    </row>
    <row r="388" spans="1:34" x14ac:dyDescent="0.3">
      <c r="A388" s="1">
        <v>2014401</v>
      </c>
      <c r="B388" s="1">
        <v>8.02</v>
      </c>
      <c r="C388" s="1">
        <v>459</v>
      </c>
      <c r="D388" s="1">
        <v>499</v>
      </c>
      <c r="E388" s="1" t="s">
        <v>43</v>
      </c>
      <c r="F388" s="1">
        <v>0</v>
      </c>
      <c r="G388" s="1" t="s">
        <v>1496</v>
      </c>
      <c r="H388" s="1" t="s">
        <v>1101</v>
      </c>
      <c r="I388" s="1" t="str">
        <f>HYPERLINK("https://www.systembolaget.se/produkt/vin/duval-leroy-2014401/","https://www.systembolaget.se/produkt/vin/duval-leroy-2014401/")</f>
        <v>https://www.systembolaget.se/produkt/vin/duval-leroy-2014401/</v>
      </c>
      <c r="J388" s="1">
        <v>8.02</v>
      </c>
      <c r="K388" s="1">
        <v>8.02</v>
      </c>
      <c r="L388" s="2">
        <v>45696</v>
      </c>
      <c r="M388" s="1" t="s">
        <v>1497</v>
      </c>
      <c r="N388" s="1">
        <v>0.2</v>
      </c>
      <c r="O388" s="1">
        <v>750</v>
      </c>
      <c r="P388" s="1">
        <v>12</v>
      </c>
      <c r="Q388" s="1" t="s">
        <v>38</v>
      </c>
      <c r="R388" s="1" t="s">
        <v>61</v>
      </c>
      <c r="S388" s="1" t="s">
        <v>68</v>
      </c>
      <c r="T388" s="1"/>
      <c r="U388" s="1" t="s">
        <v>101</v>
      </c>
      <c r="V388" s="1" t="s">
        <v>346</v>
      </c>
      <c r="W388" s="1"/>
      <c r="X388" s="1" t="s">
        <v>1496</v>
      </c>
      <c r="Y388" s="1" t="s">
        <v>76</v>
      </c>
      <c r="Z388" s="1" t="s">
        <v>46</v>
      </c>
      <c r="AA388" s="1"/>
      <c r="AB388" s="1" t="s">
        <v>44</v>
      </c>
      <c r="AC388" s="1" t="s">
        <v>45</v>
      </c>
      <c r="AD388" s="1" t="s">
        <v>43</v>
      </c>
      <c r="AE388" s="1" t="s">
        <v>43</v>
      </c>
      <c r="AF388" s="1">
        <v>4</v>
      </c>
      <c r="AG388" s="1" t="s">
        <v>43</v>
      </c>
      <c r="AH388" s="2">
        <v>45717</v>
      </c>
    </row>
    <row r="389" spans="1:34" x14ac:dyDescent="0.3">
      <c r="A389" s="1">
        <v>733201</v>
      </c>
      <c r="B389" s="1">
        <v>8.02</v>
      </c>
      <c r="C389" s="1">
        <v>459</v>
      </c>
      <c r="D389" s="1">
        <v>499</v>
      </c>
      <c r="E389" s="1" t="s">
        <v>43</v>
      </c>
      <c r="F389" s="1">
        <v>0</v>
      </c>
      <c r="G389" s="1" t="s">
        <v>1498</v>
      </c>
      <c r="H389" s="1" t="s">
        <v>358</v>
      </c>
      <c r="I389" s="1" t="str">
        <f>HYPERLINK("https://www.systembolaget.se/produkt/vin/piper-heidsieck-733201/","https://www.systembolaget.se/produkt/vin/piper-heidsieck-733201/")</f>
        <v>https://www.systembolaget.se/produkt/vin/piper-heidsieck-733201/</v>
      </c>
      <c r="J389" s="1">
        <v>8.02</v>
      </c>
      <c r="K389" s="1">
        <v>8.02</v>
      </c>
      <c r="L389" s="2">
        <v>45389</v>
      </c>
      <c r="M389" s="1" t="s">
        <v>1497</v>
      </c>
      <c r="N389" s="1">
        <v>0.2</v>
      </c>
      <c r="O389" s="1">
        <v>750</v>
      </c>
      <c r="P389" s="1">
        <v>12</v>
      </c>
      <c r="Q389" s="1" t="s">
        <v>38</v>
      </c>
      <c r="R389" s="1" t="s">
        <v>61</v>
      </c>
      <c r="S389" s="1" t="s">
        <v>68</v>
      </c>
      <c r="T389" s="1"/>
      <c r="U389" s="1" t="s">
        <v>101</v>
      </c>
      <c r="V389" s="1" t="s">
        <v>346</v>
      </c>
      <c r="W389" s="1"/>
      <c r="X389" s="1" t="s">
        <v>1499</v>
      </c>
      <c r="Y389" s="1" t="s">
        <v>1500</v>
      </c>
      <c r="Z389" s="1" t="s">
        <v>43</v>
      </c>
      <c r="AA389" s="1"/>
      <c r="AB389" s="1" t="s">
        <v>44</v>
      </c>
      <c r="AC389" s="1" t="s">
        <v>45</v>
      </c>
      <c r="AD389" s="1" t="s">
        <v>43</v>
      </c>
      <c r="AE389" s="1" t="s">
        <v>43</v>
      </c>
      <c r="AF389" s="1">
        <v>5</v>
      </c>
      <c r="AG389" s="1" t="s">
        <v>43</v>
      </c>
      <c r="AH389" s="2">
        <v>38626</v>
      </c>
    </row>
    <row r="390" spans="1:34" x14ac:dyDescent="0.3">
      <c r="A390" s="1">
        <v>7795201</v>
      </c>
      <c r="B390" s="1">
        <v>8</v>
      </c>
      <c r="C390" s="1">
        <v>4599</v>
      </c>
      <c r="D390" s="1">
        <v>4999</v>
      </c>
      <c r="E390" s="1" t="s">
        <v>43</v>
      </c>
      <c r="F390" s="1">
        <v>0</v>
      </c>
      <c r="G390" s="1" t="s">
        <v>1145</v>
      </c>
      <c r="H390" s="1" t="s">
        <v>1137</v>
      </c>
      <c r="I390" s="1" t="str">
        <f>HYPERLINK("https://www.systembolaget.se/produkt/vin/bonnes-mares-grand-cru-7795201/","https://www.systembolaget.se/produkt/vin/bonnes-mares-grand-cru-7795201/")</f>
        <v>https://www.systembolaget.se/produkt/vin/bonnes-mares-grand-cru-7795201/</v>
      </c>
      <c r="J390" s="1"/>
      <c r="K390" s="1">
        <v>8</v>
      </c>
      <c r="L390" s="2">
        <v>45994</v>
      </c>
      <c r="M390" s="1" t="s">
        <v>1501</v>
      </c>
      <c r="N390" s="1">
        <v>0.02</v>
      </c>
      <c r="O390" s="1">
        <v>750</v>
      </c>
      <c r="P390" s="1">
        <v>12.5</v>
      </c>
      <c r="Q390" s="1" t="s">
        <v>38</v>
      </c>
      <c r="R390" s="1" t="s">
        <v>52</v>
      </c>
      <c r="S390" s="1"/>
      <c r="T390" s="1"/>
      <c r="U390" s="1" t="s">
        <v>101</v>
      </c>
      <c r="V390" s="1" t="s">
        <v>142</v>
      </c>
      <c r="W390" s="1" t="s">
        <v>725</v>
      </c>
      <c r="X390" s="1" t="s">
        <v>1137</v>
      </c>
      <c r="Y390" s="1" t="s">
        <v>678</v>
      </c>
      <c r="Z390" s="1" t="s">
        <v>46</v>
      </c>
      <c r="AA390" s="1">
        <v>2021</v>
      </c>
      <c r="AB390" s="1" t="s">
        <v>44</v>
      </c>
      <c r="AC390" s="1" t="s">
        <v>45</v>
      </c>
      <c r="AD390" s="1" t="s">
        <v>43</v>
      </c>
      <c r="AE390" s="1" t="s">
        <v>43</v>
      </c>
      <c r="AF390" s="1"/>
      <c r="AG390" s="1" t="s">
        <v>43</v>
      </c>
      <c r="AH390" s="2">
        <v>46001</v>
      </c>
    </row>
    <row r="391" spans="1:34" x14ac:dyDescent="0.3">
      <c r="A391" s="1">
        <v>7337601</v>
      </c>
      <c r="B391" s="1">
        <v>8</v>
      </c>
      <c r="C391" s="1">
        <v>2299</v>
      </c>
      <c r="D391" s="1">
        <v>2499</v>
      </c>
      <c r="E391" s="1" t="s">
        <v>43</v>
      </c>
      <c r="F391" s="1">
        <v>0</v>
      </c>
      <c r="G391" s="1" t="s">
        <v>1502</v>
      </c>
      <c r="H391" s="1" t="s">
        <v>1503</v>
      </c>
      <c r="I391" s="1" t="str">
        <f>HYPERLINK("https://www.systembolaget.se/produkt/vin/jonata-7337601/","https://www.systembolaget.se/produkt/vin/jonata-7337601/")</f>
        <v>https://www.systembolaget.se/produkt/vin/jonata-7337601/</v>
      </c>
      <c r="J391" s="1">
        <v>8</v>
      </c>
      <c r="K391" s="1">
        <v>8</v>
      </c>
      <c r="L391" s="2">
        <v>45943</v>
      </c>
      <c r="M391" s="1" t="s">
        <v>1504</v>
      </c>
      <c r="N391" s="1">
        <v>0.05</v>
      </c>
      <c r="O391" s="1">
        <v>750</v>
      </c>
      <c r="P391" s="1">
        <v>14.5</v>
      </c>
      <c r="Q391" s="1" t="s">
        <v>38</v>
      </c>
      <c r="R391" s="1" t="s">
        <v>52</v>
      </c>
      <c r="S391" s="1"/>
      <c r="T391" s="1"/>
      <c r="U391" s="1" t="s">
        <v>73</v>
      </c>
      <c r="V391" s="1"/>
      <c r="W391" s="1"/>
      <c r="X391" s="1" t="s">
        <v>1502</v>
      </c>
      <c r="Y391" s="1" t="s">
        <v>678</v>
      </c>
      <c r="Z391" s="1" t="s">
        <v>43</v>
      </c>
      <c r="AA391" s="1">
        <v>2018</v>
      </c>
      <c r="AB391" s="1" t="s">
        <v>44</v>
      </c>
      <c r="AC391" s="1" t="s">
        <v>45</v>
      </c>
      <c r="AD391" s="1" t="s">
        <v>43</v>
      </c>
      <c r="AE391" s="1" t="s">
        <v>43</v>
      </c>
      <c r="AF391" s="1"/>
      <c r="AG391" s="1" t="s">
        <v>43</v>
      </c>
      <c r="AH391" s="2">
        <v>45950</v>
      </c>
    </row>
    <row r="392" spans="1:34" x14ac:dyDescent="0.3">
      <c r="A392" s="1">
        <v>9244501</v>
      </c>
      <c r="B392" s="1">
        <v>8</v>
      </c>
      <c r="C392" s="1">
        <v>11499</v>
      </c>
      <c r="D392" s="1">
        <v>12499</v>
      </c>
      <c r="E392" s="1" t="s">
        <v>43</v>
      </c>
      <c r="F392" s="1">
        <v>0</v>
      </c>
      <c r="G392" s="1" t="s">
        <v>1505</v>
      </c>
      <c r="H392" s="1" t="s">
        <v>801</v>
      </c>
      <c r="I392" s="1" t="str">
        <f>HYPERLINK("https://www.systembolaget.se/produkt/vin/musigny-vieilles-vignes-grand-cru-9244501/","https://www.systembolaget.se/produkt/vin/musigny-vieilles-vignes-grand-cru-9244501/")</f>
        <v>https://www.systembolaget.se/produkt/vin/musigny-vieilles-vignes-grand-cru-9244501/</v>
      </c>
      <c r="J392" s="1">
        <v>8</v>
      </c>
      <c r="K392" s="1">
        <v>8</v>
      </c>
      <c r="L392" s="2">
        <v>45389</v>
      </c>
      <c r="M392" s="1" t="s">
        <v>1506</v>
      </c>
      <c r="N392" s="1">
        <v>0.01</v>
      </c>
      <c r="O392" s="1">
        <v>750</v>
      </c>
      <c r="P392" s="1">
        <v>14</v>
      </c>
      <c r="Q392" s="1" t="s">
        <v>38</v>
      </c>
      <c r="R392" s="1" t="s">
        <v>52</v>
      </c>
      <c r="S392" s="1"/>
      <c r="T392" s="1"/>
      <c r="U392" s="1" t="s">
        <v>101</v>
      </c>
      <c r="V392" s="1" t="s">
        <v>142</v>
      </c>
      <c r="W392" s="1" t="s">
        <v>725</v>
      </c>
      <c r="X392" s="1" t="s">
        <v>801</v>
      </c>
      <c r="Y392" s="1" t="s">
        <v>678</v>
      </c>
      <c r="Z392" s="1" t="s">
        <v>43</v>
      </c>
      <c r="AA392" s="1">
        <v>2018</v>
      </c>
      <c r="AB392" s="1" t="s">
        <v>44</v>
      </c>
      <c r="AC392" s="1" t="s">
        <v>45</v>
      </c>
      <c r="AD392" s="1" t="s">
        <v>43</v>
      </c>
      <c r="AE392" s="1" t="s">
        <v>43</v>
      </c>
      <c r="AF392" s="1"/>
      <c r="AG392" s="1" t="s">
        <v>43</v>
      </c>
      <c r="AH392" s="2">
        <v>44119</v>
      </c>
    </row>
    <row r="393" spans="1:34" x14ac:dyDescent="0.3">
      <c r="A393" s="1">
        <v>5636801</v>
      </c>
      <c r="B393" s="1">
        <v>7.95</v>
      </c>
      <c r="C393" s="1">
        <v>579</v>
      </c>
      <c r="D393" s="1">
        <v>629</v>
      </c>
      <c r="E393" s="1" t="s">
        <v>43</v>
      </c>
      <c r="F393" s="1">
        <v>0</v>
      </c>
      <c r="G393" s="1" t="s">
        <v>1507</v>
      </c>
      <c r="H393" s="1" t="s">
        <v>1508</v>
      </c>
      <c r="I393" s="1" t="str">
        <f>HYPERLINK("https://www.systembolaget.se/produkt/sprit/mossburn-island-5636801/","https://www.systembolaget.se/produkt/sprit/mossburn-island-5636801/")</f>
        <v>https://www.systembolaget.se/produkt/sprit/mossburn-island-5636801/</v>
      </c>
      <c r="J393" s="1">
        <v>7.95</v>
      </c>
      <c r="K393" s="1">
        <v>7.95</v>
      </c>
      <c r="L393" s="2">
        <v>45389</v>
      </c>
      <c r="M393" s="1" t="s">
        <v>1509</v>
      </c>
      <c r="N393" s="1">
        <v>0.56000000000000005</v>
      </c>
      <c r="O393" s="1">
        <v>700</v>
      </c>
      <c r="P393" s="1">
        <v>46</v>
      </c>
      <c r="Q393" s="1" t="s">
        <v>308</v>
      </c>
      <c r="R393" s="1" t="s">
        <v>309</v>
      </c>
      <c r="S393" s="1" t="s">
        <v>1072</v>
      </c>
      <c r="T393" s="1"/>
      <c r="U393" s="1" t="s">
        <v>253</v>
      </c>
      <c r="V393" s="1"/>
      <c r="W393" s="1"/>
      <c r="X393" s="1" t="s">
        <v>1510</v>
      </c>
      <c r="Y393" s="1" t="s">
        <v>980</v>
      </c>
      <c r="Z393" s="1" t="s">
        <v>43</v>
      </c>
      <c r="AA393" s="1"/>
      <c r="AB393" s="1" t="s">
        <v>44</v>
      </c>
      <c r="AC393" s="1" t="s">
        <v>45</v>
      </c>
      <c r="AD393" s="1" t="s">
        <v>43</v>
      </c>
      <c r="AE393" s="1" t="s">
        <v>43</v>
      </c>
      <c r="AF393" s="1"/>
      <c r="AG393" s="1" t="s">
        <v>43</v>
      </c>
      <c r="AH393" s="2">
        <v>45103</v>
      </c>
    </row>
    <row r="394" spans="1:34" x14ac:dyDescent="0.3">
      <c r="A394" s="1">
        <v>3081335</v>
      </c>
      <c r="B394" s="1">
        <v>7.92</v>
      </c>
      <c r="C394" s="1">
        <v>34.9</v>
      </c>
      <c r="D394" s="1">
        <v>37.9</v>
      </c>
      <c r="E394" s="1" t="s">
        <v>43</v>
      </c>
      <c r="F394" s="1">
        <v>0</v>
      </c>
      <c r="G394" s="1" t="s">
        <v>875</v>
      </c>
      <c r="H394" s="1" t="s">
        <v>1511</v>
      </c>
      <c r="I394" s="1" t="str">
        <f>HYPERLINK("https://www.systembolaget.se/produkt/ol/perfectly-squared-brewing-3081335/","https://www.systembolaget.se/produkt/ol/perfectly-squared-brewing-3081335/")</f>
        <v>https://www.systembolaget.se/produkt/ol/perfectly-squared-brewing-3081335/</v>
      </c>
      <c r="J394" s="1"/>
      <c r="K394" s="1">
        <v>7.92</v>
      </c>
      <c r="L394" s="2">
        <v>46034</v>
      </c>
      <c r="M394" s="1" t="s">
        <v>1512</v>
      </c>
      <c r="N394" s="1">
        <v>0.8</v>
      </c>
      <c r="O394" s="1">
        <v>330</v>
      </c>
      <c r="P394" s="1">
        <v>8.5</v>
      </c>
      <c r="Q394" s="1" t="s">
        <v>107</v>
      </c>
      <c r="R394" s="1" t="s">
        <v>108</v>
      </c>
      <c r="S394" s="1" t="s">
        <v>532</v>
      </c>
      <c r="T394" s="1"/>
      <c r="U394" s="1" t="s">
        <v>110</v>
      </c>
      <c r="V394" s="1" t="s">
        <v>694</v>
      </c>
      <c r="W394" s="1" t="s">
        <v>878</v>
      </c>
      <c r="X394" s="1" t="s">
        <v>875</v>
      </c>
      <c r="Y394" s="1" t="s">
        <v>879</v>
      </c>
      <c r="Z394" s="1" t="s">
        <v>43</v>
      </c>
      <c r="AA394" s="1"/>
      <c r="AB394" s="1" t="s">
        <v>114</v>
      </c>
      <c r="AC394" s="1" t="s">
        <v>115</v>
      </c>
      <c r="AD394" s="1" t="s">
        <v>46</v>
      </c>
      <c r="AE394" s="1" t="s">
        <v>43</v>
      </c>
      <c r="AF394" s="1"/>
      <c r="AG394" s="1" t="s">
        <v>43</v>
      </c>
      <c r="AH394" s="2">
        <v>46055</v>
      </c>
    </row>
    <row r="395" spans="1:34" x14ac:dyDescent="0.3">
      <c r="A395" s="1">
        <v>3058002</v>
      </c>
      <c r="B395" s="1">
        <v>7.92</v>
      </c>
      <c r="C395" s="1">
        <v>349</v>
      </c>
      <c r="D395" s="1">
        <v>379</v>
      </c>
      <c r="E395" s="1" t="s">
        <v>43</v>
      </c>
      <c r="F395" s="1">
        <v>0</v>
      </c>
      <c r="G395" s="1" t="s">
        <v>320</v>
      </c>
      <c r="H395" s="1" t="s">
        <v>1513</v>
      </c>
      <c r="I395" s="1" t="str">
        <f>HYPERLINK("https://www.systembolaget.se/produkt/sprit/olandsbranneri-3058002/","https://www.systembolaget.se/produkt/sprit/olandsbranneri-3058002/")</f>
        <v>https://www.systembolaget.se/produkt/sprit/olandsbranneri-3058002/</v>
      </c>
      <c r="J395" s="1">
        <v>1.1299999999999999</v>
      </c>
      <c r="K395" s="1">
        <v>7.92</v>
      </c>
      <c r="L395" s="2">
        <v>45551</v>
      </c>
      <c r="M395" s="1" t="s">
        <v>1514</v>
      </c>
      <c r="N395" s="1">
        <v>0.64</v>
      </c>
      <c r="O395" s="1">
        <v>500</v>
      </c>
      <c r="P395" s="1">
        <v>44.4</v>
      </c>
      <c r="Q395" s="1" t="s">
        <v>308</v>
      </c>
      <c r="R395" s="1" t="s">
        <v>487</v>
      </c>
      <c r="S395" s="1" t="s">
        <v>488</v>
      </c>
      <c r="T395" s="1"/>
      <c r="U395" s="1" t="s">
        <v>110</v>
      </c>
      <c r="V395" s="1" t="s">
        <v>325</v>
      </c>
      <c r="W395" s="1" t="s">
        <v>326</v>
      </c>
      <c r="X395" s="1" t="s">
        <v>320</v>
      </c>
      <c r="Y395" s="1" t="s">
        <v>327</v>
      </c>
      <c r="Z395" s="1" t="s">
        <v>43</v>
      </c>
      <c r="AA395" s="1"/>
      <c r="AB395" s="1" t="s">
        <v>44</v>
      </c>
      <c r="AC395" s="1" t="s">
        <v>115</v>
      </c>
      <c r="AD395" s="1" t="s">
        <v>43</v>
      </c>
      <c r="AE395" s="1" t="s">
        <v>43</v>
      </c>
      <c r="AF395" s="1">
        <v>2</v>
      </c>
      <c r="AG395" s="1" t="s">
        <v>43</v>
      </c>
      <c r="AH395" s="2">
        <v>45572</v>
      </c>
    </row>
    <row r="396" spans="1:34" x14ac:dyDescent="0.3">
      <c r="A396" s="1">
        <v>8797901</v>
      </c>
      <c r="B396" s="1">
        <v>7.83</v>
      </c>
      <c r="C396" s="1">
        <v>459</v>
      </c>
      <c r="D396" s="1">
        <v>498</v>
      </c>
      <c r="E396" s="1" t="s">
        <v>43</v>
      </c>
      <c r="F396" s="1">
        <v>0</v>
      </c>
      <c r="G396" s="1" t="s">
        <v>1515</v>
      </c>
      <c r="H396" s="1" t="s">
        <v>1516</v>
      </c>
      <c r="I396" s="1" t="str">
        <f>HYPERLINK("https://www.systembolaget.se/produkt/sprit/drumshanbo-gunpowder-8797901/","https://www.systembolaget.se/produkt/sprit/drumshanbo-gunpowder-8797901/")</f>
        <v>https://www.systembolaget.se/produkt/sprit/drumshanbo-gunpowder-8797901/</v>
      </c>
      <c r="J396" s="1">
        <v>4.57</v>
      </c>
      <c r="K396" s="1">
        <v>7.83</v>
      </c>
      <c r="L396" s="2">
        <v>45389</v>
      </c>
      <c r="M396" s="1" t="s">
        <v>1517</v>
      </c>
      <c r="N396" s="1">
        <v>0.66</v>
      </c>
      <c r="O396" s="1">
        <v>700</v>
      </c>
      <c r="P396" s="1">
        <v>43</v>
      </c>
      <c r="Q396" s="1" t="s">
        <v>308</v>
      </c>
      <c r="R396" s="1" t="s">
        <v>487</v>
      </c>
      <c r="S396" s="1" t="s">
        <v>488</v>
      </c>
      <c r="T396" s="1"/>
      <c r="U396" s="1" t="s">
        <v>311</v>
      </c>
      <c r="V396" s="1"/>
      <c r="W396" s="1"/>
      <c r="X396" s="1" t="s">
        <v>1518</v>
      </c>
      <c r="Y396" s="1" t="s">
        <v>1006</v>
      </c>
      <c r="Z396" s="1" t="s">
        <v>43</v>
      </c>
      <c r="AA396" s="1"/>
      <c r="AB396" s="1" t="s">
        <v>44</v>
      </c>
      <c r="AC396" s="1" t="s">
        <v>45</v>
      </c>
      <c r="AD396" s="1" t="s">
        <v>43</v>
      </c>
      <c r="AE396" s="1" t="s">
        <v>43</v>
      </c>
      <c r="AF396" s="1"/>
      <c r="AG396" s="1" t="s">
        <v>43</v>
      </c>
      <c r="AH396" s="2">
        <v>43633</v>
      </c>
    </row>
    <row r="397" spans="1:34" x14ac:dyDescent="0.3">
      <c r="A397" s="1">
        <v>8477802</v>
      </c>
      <c r="B397" s="1">
        <v>7.81</v>
      </c>
      <c r="C397" s="1">
        <v>295</v>
      </c>
      <c r="D397" s="1">
        <v>320</v>
      </c>
      <c r="E397" s="1" t="s">
        <v>43</v>
      </c>
      <c r="F397" s="1">
        <v>0</v>
      </c>
      <c r="G397" s="1" t="s">
        <v>1519</v>
      </c>
      <c r="H397" s="1"/>
      <c r="I397" s="1" t="str">
        <f>HYPERLINK("https://www.systembolaget.se/produkt/vin/lingari-8477802/","https://www.systembolaget.se/produkt/vin/lingari-8477802/")</f>
        <v>https://www.systembolaget.se/produkt/vin/lingari-8477802/</v>
      </c>
      <c r="J397" s="1">
        <v>7.52</v>
      </c>
      <c r="K397" s="1">
        <v>7.81</v>
      </c>
      <c r="L397" s="2">
        <v>45789</v>
      </c>
      <c r="M397" s="1" t="s">
        <v>1520</v>
      </c>
      <c r="N397" s="1">
        <v>0.37</v>
      </c>
      <c r="O397" s="1">
        <v>500</v>
      </c>
      <c r="P397" s="1">
        <v>22</v>
      </c>
      <c r="Q397" s="1" t="s">
        <v>38</v>
      </c>
      <c r="R397" s="1" t="s">
        <v>1521</v>
      </c>
      <c r="S397" s="1"/>
      <c r="T397" s="1"/>
      <c r="U397" s="1" t="s">
        <v>110</v>
      </c>
      <c r="V397" s="1"/>
      <c r="W397" s="1"/>
      <c r="X397" s="1" t="s">
        <v>1522</v>
      </c>
      <c r="Y397" s="1" t="s">
        <v>1523</v>
      </c>
      <c r="Z397" s="1" t="s">
        <v>43</v>
      </c>
      <c r="AA397" s="1"/>
      <c r="AB397" s="1" t="s">
        <v>44</v>
      </c>
      <c r="AC397" s="1" t="s">
        <v>90</v>
      </c>
      <c r="AD397" s="1" t="s">
        <v>43</v>
      </c>
      <c r="AE397" s="1" t="s">
        <v>43</v>
      </c>
      <c r="AF397" s="1">
        <v>196</v>
      </c>
      <c r="AG397" s="1" t="s">
        <v>43</v>
      </c>
      <c r="AH397" s="2">
        <v>45796</v>
      </c>
    </row>
    <row r="398" spans="1:34" x14ac:dyDescent="0.3">
      <c r="A398" s="1">
        <v>8122602</v>
      </c>
      <c r="B398" s="1">
        <v>7.78</v>
      </c>
      <c r="C398" s="1">
        <v>249</v>
      </c>
      <c r="D398" s="1">
        <v>270</v>
      </c>
      <c r="E398" s="1" t="s">
        <v>43</v>
      </c>
      <c r="F398" s="1">
        <v>0</v>
      </c>
      <c r="G398" s="1" t="s">
        <v>540</v>
      </c>
      <c r="H398" s="1" t="s">
        <v>1524</v>
      </c>
      <c r="I398" s="1" t="str">
        <f>HYPERLINK("https://www.systembolaget.se/produkt/sprit/edinburgh-gin-8122602/","https://www.systembolaget.se/produkt/sprit/edinburgh-gin-8122602/")</f>
        <v>https://www.systembolaget.se/produkt/sprit/edinburgh-gin-8122602/</v>
      </c>
      <c r="J398" s="1"/>
      <c r="K398" s="1">
        <v>7.78</v>
      </c>
      <c r="L398" s="2">
        <v>45454</v>
      </c>
      <c r="M398" s="1" t="s">
        <v>1525</v>
      </c>
      <c r="N398" s="1">
        <v>0.4</v>
      </c>
      <c r="O398" s="1">
        <v>500</v>
      </c>
      <c r="P398" s="1">
        <v>20</v>
      </c>
      <c r="Q398" s="1" t="s">
        <v>308</v>
      </c>
      <c r="R398" s="1" t="s">
        <v>378</v>
      </c>
      <c r="S398" s="1" t="s">
        <v>379</v>
      </c>
      <c r="T398" s="1"/>
      <c r="U398" s="1" t="s">
        <v>253</v>
      </c>
      <c r="V398" s="1" t="s">
        <v>254</v>
      </c>
      <c r="W398" s="1"/>
      <c r="X398" s="1" t="s">
        <v>542</v>
      </c>
      <c r="Y398" s="1" t="s">
        <v>256</v>
      </c>
      <c r="Z398" s="1" t="s">
        <v>43</v>
      </c>
      <c r="AA398" s="1"/>
      <c r="AB398" s="1" t="s">
        <v>44</v>
      </c>
      <c r="AC398" s="1" t="s">
        <v>45</v>
      </c>
      <c r="AD398" s="1" t="s">
        <v>43</v>
      </c>
      <c r="AE398" s="1" t="s">
        <v>43</v>
      </c>
      <c r="AF398" s="1"/>
      <c r="AG398" s="1" t="s">
        <v>43</v>
      </c>
      <c r="AH398" s="2">
        <v>43318</v>
      </c>
    </row>
    <row r="399" spans="1:34" x14ac:dyDescent="0.3">
      <c r="A399" s="1">
        <v>5202821</v>
      </c>
      <c r="B399" s="1">
        <v>7.75</v>
      </c>
      <c r="C399" s="1">
        <v>119</v>
      </c>
      <c r="D399" s="1">
        <v>129</v>
      </c>
      <c r="E399" s="1" t="s">
        <v>43</v>
      </c>
      <c r="F399" s="1">
        <v>0</v>
      </c>
      <c r="G399" s="1" t="s">
        <v>1526</v>
      </c>
      <c r="H399" s="1" t="s">
        <v>941</v>
      </c>
      <c r="I399" s="1" t="str">
        <f>HYPERLINK("https://www.systembolaget.se/produkt/vin/chateau-bonnet-5202821/","https://www.systembolaget.se/produkt/vin/chateau-bonnet-5202821/")</f>
        <v>https://www.systembolaget.se/produkt/vin/chateau-bonnet-5202821/</v>
      </c>
      <c r="J399" s="1">
        <v>7.75</v>
      </c>
      <c r="K399" s="1">
        <v>7.75</v>
      </c>
      <c r="L399" s="2">
        <v>45389</v>
      </c>
      <c r="M399" s="1" t="s">
        <v>1527</v>
      </c>
      <c r="N399" s="1">
        <v>0.82</v>
      </c>
      <c r="O399" s="1">
        <v>750</v>
      </c>
      <c r="P399" s="1">
        <v>13</v>
      </c>
      <c r="Q399" s="1" t="s">
        <v>38</v>
      </c>
      <c r="R399" s="1" t="s">
        <v>52</v>
      </c>
      <c r="S399" s="1" t="s">
        <v>84</v>
      </c>
      <c r="T399" s="1"/>
      <c r="U399" s="1" t="s">
        <v>101</v>
      </c>
      <c r="V399" s="1" t="s">
        <v>371</v>
      </c>
      <c r="W399" s="1"/>
      <c r="X399" s="1" t="s">
        <v>1528</v>
      </c>
      <c r="Y399" s="1" t="s">
        <v>407</v>
      </c>
      <c r="Z399" s="1" t="s">
        <v>43</v>
      </c>
      <c r="AA399" s="1">
        <v>2021</v>
      </c>
      <c r="AB399" s="1" t="s">
        <v>181</v>
      </c>
      <c r="AC399" s="1" t="s">
        <v>90</v>
      </c>
      <c r="AD399" s="1" t="s">
        <v>43</v>
      </c>
      <c r="AE399" s="1" t="s">
        <v>43</v>
      </c>
      <c r="AF399" s="1">
        <v>2</v>
      </c>
      <c r="AG399" s="1" t="s">
        <v>43</v>
      </c>
      <c r="AH399" s="2">
        <v>45161</v>
      </c>
    </row>
    <row r="400" spans="1:34" x14ac:dyDescent="0.3">
      <c r="A400" s="1">
        <v>5202841</v>
      </c>
      <c r="B400" s="1">
        <v>7.75</v>
      </c>
      <c r="C400" s="1">
        <v>119</v>
      </c>
      <c r="D400" s="1">
        <v>129</v>
      </c>
      <c r="E400" s="1" t="s">
        <v>43</v>
      </c>
      <c r="F400" s="1">
        <v>0</v>
      </c>
      <c r="G400" s="1" t="s">
        <v>1526</v>
      </c>
      <c r="H400" s="1" t="s">
        <v>941</v>
      </c>
      <c r="I400" s="1" t="str">
        <f>HYPERLINK("https://www.systembolaget.se/produkt/vin/chateau-bonnet-5202841/","https://www.systembolaget.se/produkt/vin/chateau-bonnet-5202841/")</f>
        <v>https://www.systembolaget.se/produkt/vin/chateau-bonnet-5202841/</v>
      </c>
      <c r="J400" s="1"/>
      <c r="K400" s="1">
        <v>7.75</v>
      </c>
      <c r="L400" s="2">
        <v>46167</v>
      </c>
      <c r="M400" s="1" t="s">
        <v>1527</v>
      </c>
      <c r="N400" s="1">
        <v>0.82</v>
      </c>
      <c r="O400" s="1">
        <v>750</v>
      </c>
      <c r="P400" s="1">
        <v>13</v>
      </c>
      <c r="Q400" s="1" t="s">
        <v>38</v>
      </c>
      <c r="R400" s="1" t="s">
        <v>52</v>
      </c>
      <c r="S400" s="1" t="s">
        <v>84</v>
      </c>
      <c r="T400" s="1"/>
      <c r="U400" s="1" t="s">
        <v>101</v>
      </c>
      <c r="V400" s="1" t="s">
        <v>371</v>
      </c>
      <c r="W400" s="1"/>
      <c r="X400" s="1" t="s">
        <v>1528</v>
      </c>
      <c r="Y400" s="1" t="s">
        <v>407</v>
      </c>
      <c r="Z400" s="1" t="s">
        <v>43</v>
      </c>
      <c r="AA400" s="1">
        <v>2021</v>
      </c>
      <c r="AB400" s="1" t="s">
        <v>181</v>
      </c>
      <c r="AC400" s="1" t="s">
        <v>90</v>
      </c>
      <c r="AD400" s="1" t="s">
        <v>43</v>
      </c>
      <c r="AE400" s="1" t="s">
        <v>43</v>
      </c>
      <c r="AF400" s="1">
        <v>2</v>
      </c>
      <c r="AG400" s="1" t="s">
        <v>43</v>
      </c>
      <c r="AH400" s="2">
        <v>46174</v>
      </c>
    </row>
    <row r="401" spans="1:34" x14ac:dyDescent="0.3">
      <c r="A401" s="1">
        <v>3389014</v>
      </c>
      <c r="B401" s="1">
        <v>7.75</v>
      </c>
      <c r="C401" s="1">
        <v>36.9</v>
      </c>
      <c r="D401" s="1">
        <v>40</v>
      </c>
      <c r="E401" s="1" t="s">
        <v>43</v>
      </c>
      <c r="F401" s="1">
        <v>0</v>
      </c>
      <c r="G401" s="1" t="s">
        <v>1284</v>
      </c>
      <c r="H401" s="1" t="s">
        <v>1529</v>
      </c>
      <c r="I401" s="1" t="str">
        <f>HYPERLINK("https://www.systembolaget.se/produkt/ol/omnipollo-3389014/","https://www.systembolaget.se/produkt/ol/omnipollo-3389014/")</f>
        <v>https://www.systembolaget.se/produkt/ol/omnipollo-3389014/</v>
      </c>
      <c r="J401" s="1"/>
      <c r="K401" s="1">
        <v>7.75</v>
      </c>
      <c r="L401" s="2">
        <v>46104</v>
      </c>
      <c r="M401" s="1" t="s">
        <v>1530</v>
      </c>
      <c r="N401" s="1">
        <v>0.56999999999999995</v>
      </c>
      <c r="O401" s="1">
        <v>440</v>
      </c>
      <c r="P401" s="1">
        <v>4.8</v>
      </c>
      <c r="Q401" s="1" t="s">
        <v>107</v>
      </c>
      <c r="R401" s="1" t="s">
        <v>712</v>
      </c>
      <c r="S401" s="1" t="s">
        <v>1531</v>
      </c>
      <c r="T401" s="1"/>
      <c r="U401" s="1" t="s">
        <v>110</v>
      </c>
      <c r="V401" s="1" t="s">
        <v>380</v>
      </c>
      <c r="W401" s="1" t="s">
        <v>1532</v>
      </c>
      <c r="X401" s="1" t="s">
        <v>1288</v>
      </c>
      <c r="Y401" s="1" t="s">
        <v>1288</v>
      </c>
      <c r="Z401" s="1" t="s">
        <v>43</v>
      </c>
      <c r="AA401" s="1"/>
      <c r="AB401" s="1" t="s">
        <v>114</v>
      </c>
      <c r="AC401" s="1" t="s">
        <v>115</v>
      </c>
      <c r="AD401" s="1" t="s">
        <v>43</v>
      </c>
      <c r="AE401" s="1" t="s">
        <v>43</v>
      </c>
      <c r="AF401" s="1"/>
      <c r="AG401" s="1" t="s">
        <v>43</v>
      </c>
      <c r="AH401" s="2">
        <v>46125</v>
      </c>
    </row>
    <row r="402" spans="1:34" x14ac:dyDescent="0.3">
      <c r="A402" s="1">
        <v>105335</v>
      </c>
      <c r="B402" s="1">
        <v>7.75</v>
      </c>
      <c r="C402" s="1">
        <v>11.9</v>
      </c>
      <c r="D402" s="1">
        <v>12.9</v>
      </c>
      <c r="E402" s="1" t="s">
        <v>43</v>
      </c>
      <c r="F402" s="1">
        <v>0</v>
      </c>
      <c r="G402" s="1" t="s">
        <v>1533</v>
      </c>
      <c r="H402" s="1" t="s">
        <v>1534</v>
      </c>
      <c r="I402" s="1" t="str">
        <f>HYPERLINK("https://www.systembolaget.se/produkt/ol/backyard-brew-105335/","https://www.systembolaget.se/produkt/ol/backyard-brew-105335/")</f>
        <v>https://www.systembolaget.se/produkt/ol/backyard-brew-105335/</v>
      </c>
      <c r="J402" s="1"/>
      <c r="K402" s="1">
        <v>7.75</v>
      </c>
      <c r="L402" s="2">
        <v>46052</v>
      </c>
      <c r="M402" s="1" t="s">
        <v>1535</v>
      </c>
      <c r="N402" s="1">
        <v>1.44</v>
      </c>
      <c r="O402" s="1">
        <v>330</v>
      </c>
      <c r="P402" s="1">
        <v>5.2</v>
      </c>
      <c r="Q402" s="1" t="s">
        <v>107</v>
      </c>
      <c r="R402" s="1" t="s">
        <v>134</v>
      </c>
      <c r="S402" s="1" t="s">
        <v>135</v>
      </c>
      <c r="T402" s="1"/>
      <c r="U402" s="1" t="s">
        <v>110</v>
      </c>
      <c r="V402" s="1"/>
      <c r="W402" s="1"/>
      <c r="X402" s="1" t="s">
        <v>1536</v>
      </c>
      <c r="Y402" s="1" t="s">
        <v>1537</v>
      </c>
      <c r="Z402" s="1" t="s">
        <v>46</v>
      </c>
      <c r="AA402" s="1"/>
      <c r="AB402" s="1" t="s">
        <v>114</v>
      </c>
      <c r="AC402" s="1" t="s">
        <v>90</v>
      </c>
      <c r="AD402" s="1" t="s">
        <v>43</v>
      </c>
      <c r="AE402" s="1" t="s">
        <v>43</v>
      </c>
      <c r="AF402" s="1"/>
      <c r="AG402" s="1" t="s">
        <v>43</v>
      </c>
      <c r="AH402" s="2">
        <v>46054</v>
      </c>
    </row>
    <row r="403" spans="1:34" x14ac:dyDescent="0.3">
      <c r="A403" s="1">
        <v>106815</v>
      </c>
      <c r="B403" s="1">
        <v>7.75</v>
      </c>
      <c r="C403" s="1">
        <v>11.9</v>
      </c>
      <c r="D403" s="1">
        <v>12.9</v>
      </c>
      <c r="E403" s="1" t="s">
        <v>43</v>
      </c>
      <c r="F403" s="1">
        <v>0</v>
      </c>
      <c r="G403" s="1" t="s">
        <v>1533</v>
      </c>
      <c r="H403" s="1" t="s">
        <v>1534</v>
      </c>
      <c r="I403" s="1" t="str">
        <f>HYPERLINK("https://www.systembolaget.se/produkt/ol/backyard-brew-106815/","https://www.systembolaget.se/produkt/ol/backyard-brew-106815/")</f>
        <v>https://www.systembolaget.se/produkt/ol/backyard-brew-106815/</v>
      </c>
      <c r="J403" s="1">
        <v>0</v>
      </c>
      <c r="K403" s="1">
        <v>7.75</v>
      </c>
      <c r="L403" s="2">
        <v>45389</v>
      </c>
      <c r="M403" s="1" t="s">
        <v>1538</v>
      </c>
      <c r="N403" s="1">
        <v>1.44</v>
      </c>
      <c r="O403" s="1">
        <v>330</v>
      </c>
      <c r="P403" s="1">
        <v>5.2</v>
      </c>
      <c r="Q403" s="1" t="s">
        <v>107</v>
      </c>
      <c r="R403" s="1" t="s">
        <v>134</v>
      </c>
      <c r="S403" s="1" t="s">
        <v>135</v>
      </c>
      <c r="T403" s="1"/>
      <c r="U403" s="1" t="s">
        <v>110</v>
      </c>
      <c r="V403" s="1"/>
      <c r="W403" s="1"/>
      <c r="X403" s="1" t="s">
        <v>1536</v>
      </c>
      <c r="Y403" s="1" t="s">
        <v>1537</v>
      </c>
      <c r="Z403" s="1" t="s">
        <v>46</v>
      </c>
      <c r="AA403" s="1"/>
      <c r="AB403" s="1" t="s">
        <v>114</v>
      </c>
      <c r="AC403" s="1" t="s">
        <v>90</v>
      </c>
      <c r="AD403" s="1" t="s">
        <v>43</v>
      </c>
      <c r="AE403" s="1" t="s">
        <v>43</v>
      </c>
      <c r="AF403" s="1"/>
      <c r="AG403" s="1" t="s">
        <v>43</v>
      </c>
      <c r="AH403" s="2">
        <v>44805</v>
      </c>
    </row>
    <row r="404" spans="1:34" x14ac:dyDescent="0.3">
      <c r="A404" s="1">
        <v>7626601</v>
      </c>
      <c r="B404" s="1">
        <v>7.71</v>
      </c>
      <c r="C404" s="1">
        <v>479</v>
      </c>
      <c r="D404" s="1">
        <v>519</v>
      </c>
      <c r="E404" s="1" t="s">
        <v>43</v>
      </c>
      <c r="F404" s="1">
        <v>0</v>
      </c>
      <c r="G404" s="1" t="s">
        <v>1539</v>
      </c>
      <c r="H404" s="1" t="s">
        <v>1540</v>
      </c>
      <c r="I404" s="1" t="str">
        <f>HYPERLINK("https://www.systembolaget.se/produkt/vin/chablis-1er-cru-la-foret-7626601/","https://www.systembolaget.se/produkt/vin/chablis-1er-cru-la-foret-7626601/")</f>
        <v>https://www.systembolaget.se/produkt/vin/chablis-1er-cru-la-foret-7626601/</v>
      </c>
      <c r="J404" s="1">
        <v>4.01</v>
      </c>
      <c r="K404" s="1">
        <v>7.71</v>
      </c>
      <c r="L404" s="2">
        <v>45389</v>
      </c>
      <c r="M404" s="1" t="s">
        <v>1541</v>
      </c>
      <c r="N404" s="1">
        <v>0.2</v>
      </c>
      <c r="O404" s="1">
        <v>750</v>
      </c>
      <c r="P404" s="1">
        <v>13</v>
      </c>
      <c r="Q404" s="1" t="s">
        <v>38</v>
      </c>
      <c r="R404" s="1" t="s">
        <v>39</v>
      </c>
      <c r="S404" s="1"/>
      <c r="T404" s="1"/>
      <c r="U404" s="1" t="s">
        <v>101</v>
      </c>
      <c r="V404" s="1" t="s">
        <v>142</v>
      </c>
      <c r="W404" s="1" t="s">
        <v>1542</v>
      </c>
      <c r="X404" s="1" t="s">
        <v>1540</v>
      </c>
      <c r="Y404" s="1" t="s">
        <v>678</v>
      </c>
      <c r="Z404" s="1" t="s">
        <v>43</v>
      </c>
      <c r="AA404" s="1">
        <v>2022</v>
      </c>
      <c r="AB404" s="1" t="s">
        <v>44</v>
      </c>
      <c r="AC404" s="1" t="s">
        <v>45</v>
      </c>
      <c r="AD404" s="1" t="s">
        <v>43</v>
      </c>
      <c r="AE404" s="1" t="s">
        <v>43</v>
      </c>
      <c r="AF404" s="1"/>
      <c r="AG404" s="1" t="s">
        <v>43</v>
      </c>
      <c r="AH404" s="2">
        <v>42846</v>
      </c>
    </row>
    <row r="405" spans="1:34" x14ac:dyDescent="0.3">
      <c r="A405" s="1">
        <v>7718606</v>
      </c>
      <c r="B405" s="1">
        <v>7.7</v>
      </c>
      <c r="C405" s="1">
        <v>1199</v>
      </c>
      <c r="D405" s="1">
        <v>1299</v>
      </c>
      <c r="E405" s="1" t="s">
        <v>43</v>
      </c>
      <c r="F405" s="1">
        <v>0</v>
      </c>
      <c r="G405" s="1" t="s">
        <v>1026</v>
      </c>
      <c r="H405" s="1" t="s">
        <v>1543</v>
      </c>
      <c r="I405" s="1" t="str">
        <f>HYPERLINK("https://www.systembolaget.se/produkt/vin/pommery-7718606/","https://www.systembolaget.se/produkt/vin/pommery-7718606/")</f>
        <v>https://www.systembolaget.se/produkt/vin/pommery-7718606/</v>
      </c>
      <c r="J405" s="1">
        <v>7.7</v>
      </c>
      <c r="K405" s="1">
        <v>7.7</v>
      </c>
      <c r="L405" s="2">
        <v>45444</v>
      </c>
      <c r="M405" s="1" t="s">
        <v>1544</v>
      </c>
      <c r="N405" s="1">
        <v>0.16</v>
      </c>
      <c r="O405" s="1">
        <v>1500</v>
      </c>
      <c r="P405" s="1">
        <v>12.5</v>
      </c>
      <c r="Q405" s="1" t="s">
        <v>38</v>
      </c>
      <c r="R405" s="1" t="s">
        <v>61</v>
      </c>
      <c r="S405" s="1" t="s">
        <v>68</v>
      </c>
      <c r="T405" s="1"/>
      <c r="U405" s="1" t="s">
        <v>101</v>
      </c>
      <c r="V405" s="1" t="s">
        <v>346</v>
      </c>
      <c r="W405" s="1"/>
      <c r="X405" s="1" t="s">
        <v>1026</v>
      </c>
      <c r="Y405" s="1" t="s">
        <v>299</v>
      </c>
      <c r="Z405" s="1" t="s">
        <v>43</v>
      </c>
      <c r="AA405" s="1"/>
      <c r="AB405" s="1" t="s">
        <v>375</v>
      </c>
      <c r="AC405" s="1" t="s">
        <v>45</v>
      </c>
      <c r="AD405" s="1" t="s">
        <v>43</v>
      </c>
      <c r="AE405" s="1" t="s">
        <v>43</v>
      </c>
      <c r="AF405" s="1"/>
      <c r="AG405" s="1" t="s">
        <v>43</v>
      </c>
      <c r="AH405" s="2">
        <v>43446</v>
      </c>
    </row>
    <row r="406" spans="1:34" x14ac:dyDescent="0.3">
      <c r="A406" s="1">
        <v>7689701</v>
      </c>
      <c r="B406" s="1">
        <v>7.7</v>
      </c>
      <c r="C406" s="1">
        <v>599</v>
      </c>
      <c r="D406" s="1">
        <v>649</v>
      </c>
      <c r="E406" s="1" t="s">
        <v>43</v>
      </c>
      <c r="F406" s="1">
        <v>0</v>
      </c>
      <c r="G406" s="1" t="s">
        <v>1545</v>
      </c>
      <c r="H406" s="1" t="s">
        <v>1546</v>
      </c>
      <c r="I406" s="1" t="str">
        <f>HYPERLINK("https://www.systembolaget.se/produkt/vin/wehlener-sonnenuhr-auslese-7689701/","https://www.systembolaget.se/produkt/vin/wehlener-sonnenuhr-auslese-7689701/")</f>
        <v>https://www.systembolaget.se/produkt/vin/wehlener-sonnenuhr-auslese-7689701/</v>
      </c>
      <c r="J406" s="1"/>
      <c r="K406" s="1">
        <v>7.7</v>
      </c>
      <c r="L406" s="2">
        <v>46001</v>
      </c>
      <c r="M406" s="1" t="s">
        <v>1547</v>
      </c>
      <c r="N406" s="1">
        <v>0.1</v>
      </c>
      <c r="O406" s="1">
        <v>750</v>
      </c>
      <c r="P406" s="1">
        <v>8</v>
      </c>
      <c r="Q406" s="1" t="s">
        <v>38</v>
      </c>
      <c r="R406" s="1" t="s">
        <v>39</v>
      </c>
      <c r="S406" s="1"/>
      <c r="T406" s="1"/>
      <c r="U406" s="1" t="s">
        <v>119</v>
      </c>
      <c r="V406" s="1" t="s">
        <v>814</v>
      </c>
      <c r="W406" s="1"/>
      <c r="X406" s="1" t="s">
        <v>815</v>
      </c>
      <c r="Y406" s="1" t="s">
        <v>678</v>
      </c>
      <c r="Z406" s="1" t="s">
        <v>43</v>
      </c>
      <c r="AA406" s="1">
        <v>2023</v>
      </c>
      <c r="AB406" s="1" t="s">
        <v>44</v>
      </c>
      <c r="AC406" s="1" t="s">
        <v>45</v>
      </c>
      <c r="AD406" s="1" t="s">
        <v>43</v>
      </c>
      <c r="AE406" s="1" t="s">
        <v>43</v>
      </c>
      <c r="AF406" s="1"/>
      <c r="AG406" s="1" t="s">
        <v>43</v>
      </c>
      <c r="AH406" s="2">
        <v>46008</v>
      </c>
    </row>
    <row r="407" spans="1:34" x14ac:dyDescent="0.3">
      <c r="A407" s="1">
        <v>5332301</v>
      </c>
      <c r="B407" s="1">
        <v>7.7</v>
      </c>
      <c r="C407" s="1">
        <v>599</v>
      </c>
      <c r="D407" s="1">
        <v>649</v>
      </c>
      <c r="E407" s="1" t="s">
        <v>43</v>
      </c>
      <c r="F407" s="1">
        <v>0</v>
      </c>
      <c r="G407" s="1" t="s">
        <v>1548</v>
      </c>
      <c r="H407" s="1" t="s">
        <v>1549</v>
      </c>
      <c r="I407" s="1" t="str">
        <f>HYPERLINK("https://www.systembolaget.se/produkt/vin/a-d-coutelas-5332301/","https://www.systembolaget.se/produkt/vin/a-d-coutelas-5332301/")</f>
        <v>https://www.systembolaget.se/produkt/vin/a-d-coutelas-5332301/</v>
      </c>
      <c r="J407" s="1">
        <v>7.7</v>
      </c>
      <c r="K407" s="1">
        <v>7.7</v>
      </c>
      <c r="L407" s="2">
        <v>45444</v>
      </c>
      <c r="M407" s="1" t="s">
        <v>1547</v>
      </c>
      <c r="N407" s="1">
        <v>0.15</v>
      </c>
      <c r="O407" s="1">
        <v>750</v>
      </c>
      <c r="P407" s="1">
        <v>12</v>
      </c>
      <c r="Q407" s="1" t="s">
        <v>38</v>
      </c>
      <c r="R407" s="1" t="s">
        <v>61</v>
      </c>
      <c r="S407" s="1" t="s">
        <v>68</v>
      </c>
      <c r="T407" s="1"/>
      <c r="U407" s="1" t="s">
        <v>101</v>
      </c>
      <c r="V407" s="1" t="s">
        <v>346</v>
      </c>
      <c r="W407" s="1"/>
      <c r="X407" s="1" t="s">
        <v>1550</v>
      </c>
      <c r="Y407" s="1" t="s">
        <v>479</v>
      </c>
      <c r="Z407" s="1" t="s">
        <v>43</v>
      </c>
      <c r="AA407" s="1"/>
      <c r="AB407" s="1" t="s">
        <v>44</v>
      </c>
      <c r="AC407" s="1" t="s">
        <v>45</v>
      </c>
      <c r="AD407" s="1" t="s">
        <v>43</v>
      </c>
      <c r="AE407" s="1" t="s">
        <v>43</v>
      </c>
      <c r="AF407" s="1"/>
      <c r="AG407" s="1" t="s">
        <v>43</v>
      </c>
      <c r="AH407" s="2">
        <v>45027</v>
      </c>
    </row>
    <row r="408" spans="1:34" x14ac:dyDescent="0.3">
      <c r="A408" s="1">
        <v>5978001</v>
      </c>
      <c r="B408" s="1">
        <v>7.69</v>
      </c>
      <c r="C408" s="1">
        <v>1200</v>
      </c>
      <c r="D408" s="1">
        <v>1300</v>
      </c>
      <c r="E408" s="1" t="s">
        <v>459</v>
      </c>
      <c r="F408" s="1">
        <v>6</v>
      </c>
      <c r="G408" s="1" t="s">
        <v>1411</v>
      </c>
      <c r="H408" s="1" t="s">
        <v>1551</v>
      </c>
      <c r="I408" s="1" t="str">
        <f>HYPERLINK("https://www.systembolaget.se/produkt/vin/mount-mary-5978001/","https://www.systembolaget.se/produkt/vin/mount-mary-5978001/")</f>
        <v>https://www.systembolaget.se/produkt/vin/mount-mary-5978001/</v>
      </c>
      <c r="J408" s="1">
        <v>7.83</v>
      </c>
      <c r="K408" s="1">
        <v>7.69</v>
      </c>
      <c r="L408" s="2">
        <v>45509</v>
      </c>
      <c r="M408" s="1" t="s">
        <v>1552</v>
      </c>
      <c r="N408" s="1">
        <v>0.08</v>
      </c>
      <c r="O408" s="1">
        <v>750</v>
      </c>
      <c r="P408" s="1">
        <v>13</v>
      </c>
      <c r="Q408" s="1" t="s">
        <v>38</v>
      </c>
      <c r="R408" s="1" t="s">
        <v>52</v>
      </c>
      <c r="S408" s="1"/>
      <c r="T408" s="1"/>
      <c r="U408" s="1" t="s">
        <v>149</v>
      </c>
      <c r="V408" s="1" t="s">
        <v>582</v>
      </c>
      <c r="W408" s="1" t="s">
        <v>1413</v>
      </c>
      <c r="X408" s="1" t="s">
        <v>1414</v>
      </c>
      <c r="Y408" s="1" t="s">
        <v>374</v>
      </c>
      <c r="Z408" s="1" t="s">
        <v>43</v>
      </c>
      <c r="AA408" s="1">
        <v>2018</v>
      </c>
      <c r="AB408" s="1" t="s">
        <v>44</v>
      </c>
      <c r="AC408" s="1" t="s">
        <v>45</v>
      </c>
      <c r="AD408" s="1" t="s">
        <v>43</v>
      </c>
      <c r="AE408" s="1" t="s">
        <v>43</v>
      </c>
      <c r="AF408" s="1"/>
      <c r="AG408" s="1" t="s">
        <v>43</v>
      </c>
      <c r="AH408" s="2">
        <v>44958</v>
      </c>
    </row>
    <row r="409" spans="1:34" x14ac:dyDescent="0.3">
      <c r="A409" s="1">
        <v>7288601</v>
      </c>
      <c r="B409" s="1">
        <v>7.69</v>
      </c>
      <c r="C409" s="1">
        <v>5999</v>
      </c>
      <c r="D409" s="1">
        <v>6499</v>
      </c>
      <c r="E409" s="1" t="s">
        <v>43</v>
      </c>
      <c r="F409" s="1">
        <v>0</v>
      </c>
      <c r="G409" s="1" t="s">
        <v>723</v>
      </c>
      <c r="H409" s="1" t="s">
        <v>1277</v>
      </c>
      <c r="I409" s="1" t="str">
        <f>HYPERLINK("https://www.systembolaget.se/produkt/vin/domaine-trapet-7288601/","https://www.systembolaget.se/produkt/vin/domaine-trapet-7288601/")</f>
        <v>https://www.systembolaget.se/produkt/vin/domaine-trapet-7288601/</v>
      </c>
      <c r="J409" s="1">
        <v>7.69</v>
      </c>
      <c r="K409" s="1">
        <v>7.69</v>
      </c>
      <c r="L409" s="2">
        <v>45952</v>
      </c>
      <c r="M409" s="1" t="s">
        <v>1553</v>
      </c>
      <c r="N409" s="1">
        <v>0.02</v>
      </c>
      <c r="O409" s="1">
        <v>750</v>
      </c>
      <c r="P409" s="1">
        <v>13</v>
      </c>
      <c r="Q409" s="1" t="s">
        <v>38</v>
      </c>
      <c r="R409" s="1" t="s">
        <v>52</v>
      </c>
      <c r="S409" s="1"/>
      <c r="T409" s="1"/>
      <c r="U409" s="1" t="s">
        <v>101</v>
      </c>
      <c r="V409" s="1" t="s">
        <v>142</v>
      </c>
      <c r="W409" s="1" t="s">
        <v>725</v>
      </c>
      <c r="X409" s="1" t="s">
        <v>723</v>
      </c>
      <c r="Y409" s="1" t="s">
        <v>678</v>
      </c>
      <c r="Z409" s="1" t="s">
        <v>46</v>
      </c>
      <c r="AA409" s="1">
        <v>2022</v>
      </c>
      <c r="AB409" s="1" t="s">
        <v>44</v>
      </c>
      <c r="AC409" s="1" t="s">
        <v>45</v>
      </c>
      <c r="AD409" s="1" t="s">
        <v>43</v>
      </c>
      <c r="AE409" s="1" t="s">
        <v>43</v>
      </c>
      <c r="AF409" s="1"/>
      <c r="AG409" s="1" t="s">
        <v>43</v>
      </c>
      <c r="AH409" s="2">
        <v>45959</v>
      </c>
    </row>
    <row r="410" spans="1:34" x14ac:dyDescent="0.3">
      <c r="A410" s="1">
        <v>7858506</v>
      </c>
      <c r="B410" s="1">
        <v>7.69</v>
      </c>
      <c r="C410" s="1">
        <v>5999</v>
      </c>
      <c r="D410" s="1">
        <v>6499</v>
      </c>
      <c r="E410" s="1" t="s">
        <v>43</v>
      </c>
      <c r="F410" s="1">
        <v>0</v>
      </c>
      <c r="G410" s="1" t="s">
        <v>1278</v>
      </c>
      <c r="H410" s="1" t="s">
        <v>1137</v>
      </c>
      <c r="I410" s="1" t="str">
        <f>HYPERLINK("https://www.systembolaget.se/produkt/vin/clos-de-vougeot-grand-cru-7858506/","https://www.systembolaget.se/produkt/vin/clos-de-vougeot-grand-cru-7858506/")</f>
        <v>https://www.systembolaget.se/produkt/vin/clos-de-vougeot-grand-cru-7858506/</v>
      </c>
      <c r="J410" s="1"/>
      <c r="K410" s="1">
        <v>7.69</v>
      </c>
      <c r="L410" s="2">
        <v>45994</v>
      </c>
      <c r="M410" s="1" t="s">
        <v>1553</v>
      </c>
      <c r="N410" s="1">
        <v>0.03</v>
      </c>
      <c r="O410" s="1">
        <v>1500</v>
      </c>
      <c r="P410" s="1">
        <v>13</v>
      </c>
      <c r="Q410" s="1" t="s">
        <v>38</v>
      </c>
      <c r="R410" s="1" t="s">
        <v>52</v>
      </c>
      <c r="S410" s="1"/>
      <c r="T410" s="1"/>
      <c r="U410" s="1" t="s">
        <v>101</v>
      </c>
      <c r="V410" s="1" t="s">
        <v>142</v>
      </c>
      <c r="W410" s="1" t="s">
        <v>725</v>
      </c>
      <c r="X410" s="1" t="s">
        <v>1137</v>
      </c>
      <c r="Y410" s="1" t="s">
        <v>678</v>
      </c>
      <c r="Z410" s="1" t="s">
        <v>46</v>
      </c>
      <c r="AA410" s="1">
        <v>2022</v>
      </c>
      <c r="AB410" s="1" t="s">
        <v>375</v>
      </c>
      <c r="AC410" s="1" t="s">
        <v>45</v>
      </c>
      <c r="AD410" s="1" t="s">
        <v>43</v>
      </c>
      <c r="AE410" s="1" t="s">
        <v>43</v>
      </c>
      <c r="AF410" s="1"/>
      <c r="AG410" s="1" t="s">
        <v>43</v>
      </c>
      <c r="AH410" s="2">
        <v>46001</v>
      </c>
    </row>
    <row r="411" spans="1:34" x14ac:dyDescent="0.3">
      <c r="A411" s="1">
        <v>7693301</v>
      </c>
      <c r="B411" s="1">
        <v>7.59</v>
      </c>
      <c r="C411" s="1">
        <v>499</v>
      </c>
      <c r="D411" s="1">
        <v>540</v>
      </c>
      <c r="E411" s="1" t="s">
        <v>43</v>
      </c>
      <c r="F411" s="1">
        <v>0</v>
      </c>
      <c r="G411" s="1" t="s">
        <v>1554</v>
      </c>
      <c r="H411" s="1"/>
      <c r="I411" s="1" t="str">
        <f>HYPERLINK("https://www.systembolaget.se/produkt/vin/vinha-da-peijona-7693301/","https://www.systembolaget.se/produkt/vin/vinha-da-peijona-7693301/")</f>
        <v>https://www.systembolaget.se/produkt/vin/vinha-da-peijona-7693301/</v>
      </c>
      <c r="J411" s="1">
        <v>7.42</v>
      </c>
      <c r="K411" s="1">
        <v>7.59</v>
      </c>
      <c r="L411" s="2">
        <v>45971</v>
      </c>
      <c r="M411" s="1" t="s">
        <v>1555</v>
      </c>
      <c r="N411" s="1">
        <v>0.21</v>
      </c>
      <c r="O411" s="1">
        <v>750</v>
      </c>
      <c r="P411" s="1">
        <v>14</v>
      </c>
      <c r="Q411" s="1" t="s">
        <v>38</v>
      </c>
      <c r="R411" s="1" t="s">
        <v>52</v>
      </c>
      <c r="S411" s="1"/>
      <c r="T411" s="1"/>
      <c r="U411" s="1" t="s">
        <v>272</v>
      </c>
      <c r="V411" s="1" t="s">
        <v>341</v>
      </c>
      <c r="W411" s="1"/>
      <c r="X411" s="1" t="s">
        <v>1556</v>
      </c>
      <c r="Y411" s="1" t="s">
        <v>905</v>
      </c>
      <c r="Z411" s="1" t="s">
        <v>43</v>
      </c>
      <c r="AA411" s="1">
        <v>2021</v>
      </c>
      <c r="AB411" s="1" t="s">
        <v>44</v>
      </c>
      <c r="AC411" s="1" t="s">
        <v>45</v>
      </c>
      <c r="AD411" s="1" t="s">
        <v>43</v>
      </c>
      <c r="AE411" s="1" t="s">
        <v>43</v>
      </c>
      <c r="AF411" s="1"/>
      <c r="AG411" s="1" t="s">
        <v>43</v>
      </c>
      <c r="AH411" s="2">
        <v>45978</v>
      </c>
    </row>
    <row r="412" spans="1:34" x14ac:dyDescent="0.3">
      <c r="A412" s="1">
        <v>59501</v>
      </c>
      <c r="B412" s="1">
        <v>7.56</v>
      </c>
      <c r="C412" s="1">
        <v>379</v>
      </c>
      <c r="D412" s="1">
        <v>410</v>
      </c>
      <c r="E412" s="1" t="s">
        <v>43</v>
      </c>
      <c r="F412" s="1">
        <v>0</v>
      </c>
      <c r="G412" s="1" t="s">
        <v>1557</v>
      </c>
      <c r="H412" s="1"/>
      <c r="I412" s="1" t="str">
        <f>HYPERLINK("https://www.systembolaget.se/produkt/sprit/buffalo-trace-59501/","https://www.systembolaget.se/produkt/sprit/buffalo-trace-59501/")</f>
        <v>https://www.systembolaget.se/produkt/sprit/buffalo-trace-59501/</v>
      </c>
      <c r="J412" s="1">
        <v>7.33</v>
      </c>
      <c r="K412" s="1">
        <v>7.56</v>
      </c>
      <c r="L412" s="2">
        <v>45389</v>
      </c>
      <c r="M412" s="1" t="s">
        <v>1558</v>
      </c>
      <c r="N412" s="1">
        <v>0.74</v>
      </c>
      <c r="O412" s="1">
        <v>700</v>
      </c>
      <c r="P412" s="1">
        <v>40</v>
      </c>
      <c r="Q412" s="1" t="s">
        <v>308</v>
      </c>
      <c r="R412" s="1" t="s">
        <v>309</v>
      </c>
      <c r="S412" s="1" t="s">
        <v>1012</v>
      </c>
      <c r="T412" s="1"/>
      <c r="U412" s="1" t="s">
        <v>73</v>
      </c>
      <c r="V412" s="1" t="s">
        <v>1374</v>
      </c>
      <c r="W412" s="1"/>
      <c r="X412" s="1" t="s">
        <v>1557</v>
      </c>
      <c r="Y412" s="1" t="s">
        <v>1559</v>
      </c>
      <c r="Z412" s="1" t="s">
        <v>43</v>
      </c>
      <c r="AA412" s="1"/>
      <c r="AB412" s="1" t="s">
        <v>44</v>
      </c>
      <c r="AC412" s="1" t="s">
        <v>90</v>
      </c>
      <c r="AD412" s="1" t="s">
        <v>43</v>
      </c>
      <c r="AE412" s="1" t="s">
        <v>43</v>
      </c>
      <c r="AF412" s="1">
        <v>2</v>
      </c>
      <c r="AG412" s="1" t="s">
        <v>43</v>
      </c>
      <c r="AH412" s="2">
        <v>41283</v>
      </c>
    </row>
    <row r="413" spans="1:34" x14ac:dyDescent="0.3">
      <c r="A413" s="1">
        <v>3146214</v>
      </c>
      <c r="B413" s="1">
        <v>7.52</v>
      </c>
      <c r="C413" s="1">
        <v>36.9</v>
      </c>
      <c r="D413" s="1">
        <v>39.9</v>
      </c>
      <c r="E413" s="1" t="s">
        <v>43</v>
      </c>
      <c r="F413" s="1">
        <v>0</v>
      </c>
      <c r="G413" s="1" t="s">
        <v>1376</v>
      </c>
      <c r="H413" s="1" t="s">
        <v>1560</v>
      </c>
      <c r="I413" s="1" t="str">
        <f>HYPERLINK("https://www.systembolaget.se/produkt/ol/crooked-moon-3146214/","https://www.systembolaget.se/produkt/ol/crooked-moon-3146214/")</f>
        <v>https://www.systembolaget.se/produkt/ol/crooked-moon-3146214/</v>
      </c>
      <c r="J413" s="1"/>
      <c r="K413" s="1">
        <v>7.52</v>
      </c>
      <c r="L413" s="2">
        <v>46013</v>
      </c>
      <c r="M413" s="1" t="s">
        <v>1561</v>
      </c>
      <c r="N413" s="1">
        <v>0.82</v>
      </c>
      <c r="O413" s="1">
        <v>440</v>
      </c>
      <c r="P413" s="1">
        <v>6.9</v>
      </c>
      <c r="Q413" s="1" t="s">
        <v>107</v>
      </c>
      <c r="R413" s="1" t="s">
        <v>108</v>
      </c>
      <c r="S413" s="1" t="s">
        <v>1562</v>
      </c>
      <c r="T413" s="1"/>
      <c r="U413" s="1" t="s">
        <v>110</v>
      </c>
      <c r="V413" s="1" t="s">
        <v>694</v>
      </c>
      <c r="W413" s="1" t="s">
        <v>695</v>
      </c>
      <c r="X413" s="1" t="s">
        <v>1379</v>
      </c>
      <c r="Y413" s="1" t="s">
        <v>1379</v>
      </c>
      <c r="Z413" s="1" t="s">
        <v>43</v>
      </c>
      <c r="AA413" s="1"/>
      <c r="AB413" s="1" t="s">
        <v>114</v>
      </c>
      <c r="AC413" s="1" t="s">
        <v>115</v>
      </c>
      <c r="AD413" s="1" t="s">
        <v>43</v>
      </c>
      <c r="AE413" s="1" t="s">
        <v>43</v>
      </c>
      <c r="AF413" s="1"/>
      <c r="AG413" s="1" t="s">
        <v>43</v>
      </c>
      <c r="AH413" s="2">
        <v>46034</v>
      </c>
    </row>
    <row r="414" spans="1:34" x14ac:dyDescent="0.3">
      <c r="A414" s="1">
        <v>3123535</v>
      </c>
      <c r="B414" s="1">
        <v>7.43</v>
      </c>
      <c r="C414" s="1">
        <v>24.9</v>
      </c>
      <c r="D414" s="1">
        <v>26.9</v>
      </c>
      <c r="E414" s="1" t="s">
        <v>43</v>
      </c>
      <c r="F414" s="1">
        <v>0</v>
      </c>
      <c r="G414" s="1" t="s">
        <v>870</v>
      </c>
      <c r="H414" s="1" t="s">
        <v>1563</v>
      </c>
      <c r="I414" s="1" t="str">
        <f>HYPERLINK("https://www.systembolaget.se/produkt/ol/goteborgs-nya-bryggeri-3123535/","https://www.systembolaget.se/produkt/ol/goteborgs-nya-bryggeri-3123535/")</f>
        <v>https://www.systembolaget.se/produkt/ol/goteborgs-nya-bryggeri-3123535/</v>
      </c>
      <c r="J414" s="1"/>
      <c r="K414" s="1">
        <v>7.43</v>
      </c>
      <c r="L414" s="2">
        <v>46188</v>
      </c>
      <c r="M414" s="1" t="s">
        <v>1564</v>
      </c>
      <c r="N414" s="1">
        <v>0.62</v>
      </c>
      <c r="O414" s="1">
        <v>330</v>
      </c>
      <c r="P414" s="1">
        <v>4.7</v>
      </c>
      <c r="Q414" s="1" t="s">
        <v>107</v>
      </c>
      <c r="R414" s="1" t="s">
        <v>207</v>
      </c>
      <c r="S414" s="1" t="s">
        <v>873</v>
      </c>
      <c r="T414" s="1"/>
      <c r="U414" s="1" t="s">
        <v>110</v>
      </c>
      <c r="V414" s="1" t="s">
        <v>136</v>
      </c>
      <c r="W414" s="1" t="s">
        <v>137</v>
      </c>
      <c r="X414" s="1" t="s">
        <v>870</v>
      </c>
      <c r="Y414" s="1" t="s">
        <v>874</v>
      </c>
      <c r="Z414" s="1" t="s">
        <v>43</v>
      </c>
      <c r="AA414" s="1"/>
      <c r="AB414" s="1" t="s">
        <v>114</v>
      </c>
      <c r="AC414" s="1" t="s">
        <v>115</v>
      </c>
      <c r="AD414" s="1" t="s">
        <v>43</v>
      </c>
      <c r="AE414" s="1" t="s">
        <v>43</v>
      </c>
      <c r="AF414" s="1"/>
      <c r="AG414" s="1" t="s">
        <v>43</v>
      </c>
      <c r="AH414" s="2">
        <v>46209</v>
      </c>
    </row>
    <row r="415" spans="1:34" x14ac:dyDescent="0.3">
      <c r="A415" s="1">
        <v>7473401</v>
      </c>
      <c r="B415" s="1">
        <v>7.43</v>
      </c>
      <c r="C415" s="1">
        <v>249</v>
      </c>
      <c r="D415" s="1">
        <v>269</v>
      </c>
      <c r="E415" s="1" t="s">
        <v>43</v>
      </c>
      <c r="F415" s="1">
        <v>0</v>
      </c>
      <c r="G415" s="1" t="s">
        <v>1565</v>
      </c>
      <c r="H415" s="1" t="s">
        <v>1566</v>
      </c>
      <c r="I415" s="1" t="str">
        <f>HYPERLINK("https://www.systembolaget.se/produkt/vin/langbult-steen-old-vine-chenin-blanc-7473401/","https://www.systembolaget.se/produkt/vin/langbult-steen-old-vine-chenin-blanc-7473401/")</f>
        <v>https://www.systembolaget.se/produkt/vin/langbult-steen-old-vine-chenin-blanc-7473401/</v>
      </c>
      <c r="J415" s="1">
        <v>3.86</v>
      </c>
      <c r="K415" s="1">
        <v>7.43</v>
      </c>
      <c r="L415" s="2">
        <v>45789</v>
      </c>
      <c r="M415" s="1" t="s">
        <v>1567</v>
      </c>
      <c r="N415" s="1">
        <v>0.39</v>
      </c>
      <c r="O415" s="1">
        <v>750</v>
      </c>
      <c r="P415" s="1">
        <v>13</v>
      </c>
      <c r="Q415" s="1" t="s">
        <v>38</v>
      </c>
      <c r="R415" s="1" t="s">
        <v>39</v>
      </c>
      <c r="S415" s="1"/>
      <c r="T415" s="1"/>
      <c r="U415" s="1" t="s">
        <v>289</v>
      </c>
      <c r="V415" s="1" t="s">
        <v>290</v>
      </c>
      <c r="W415" s="1" t="s">
        <v>291</v>
      </c>
      <c r="X415" s="1" t="s">
        <v>1568</v>
      </c>
      <c r="Y415" s="1" t="s">
        <v>678</v>
      </c>
      <c r="Z415" s="1" t="s">
        <v>43</v>
      </c>
      <c r="AA415" s="1">
        <v>2023</v>
      </c>
      <c r="AB415" s="1" t="s">
        <v>44</v>
      </c>
      <c r="AC415" s="1" t="s">
        <v>45</v>
      </c>
      <c r="AD415" s="1" t="s">
        <v>43</v>
      </c>
      <c r="AE415" s="1" t="s">
        <v>43</v>
      </c>
      <c r="AF415" s="1"/>
      <c r="AG415" s="1" t="s">
        <v>43</v>
      </c>
      <c r="AH415" s="2">
        <v>45796</v>
      </c>
    </row>
    <row r="416" spans="1:34" x14ac:dyDescent="0.3">
      <c r="A416" s="1">
        <v>7475701</v>
      </c>
      <c r="B416" s="1">
        <v>7.43</v>
      </c>
      <c r="C416" s="1">
        <v>249</v>
      </c>
      <c r="D416" s="1">
        <v>269</v>
      </c>
      <c r="E416" s="1" t="s">
        <v>551</v>
      </c>
      <c r="F416" s="1">
        <v>0</v>
      </c>
      <c r="G416" s="1" t="s">
        <v>1569</v>
      </c>
      <c r="H416" s="1" t="s">
        <v>1064</v>
      </c>
      <c r="I416" s="1" t="str">
        <f>HYPERLINK("https://www.systembolaget.se/produkt/vin/bourgogne-aligote-7475701/","https://www.systembolaget.se/produkt/vin/bourgogne-aligote-7475701/")</f>
        <v>https://www.systembolaget.se/produkt/vin/bourgogne-aligote-7475701/</v>
      </c>
      <c r="J416" s="1">
        <v>3.86</v>
      </c>
      <c r="K416" s="1">
        <v>7.43</v>
      </c>
      <c r="L416" s="2">
        <v>45497</v>
      </c>
      <c r="M416" s="1" t="s">
        <v>1567</v>
      </c>
      <c r="N416" s="1">
        <v>0.38</v>
      </c>
      <c r="O416" s="1">
        <v>750</v>
      </c>
      <c r="P416" s="1">
        <v>12.5</v>
      </c>
      <c r="Q416" s="1" t="s">
        <v>38</v>
      </c>
      <c r="R416" s="1" t="s">
        <v>39</v>
      </c>
      <c r="S416" s="1"/>
      <c r="T416" s="1"/>
      <c r="U416" s="1" t="s">
        <v>101</v>
      </c>
      <c r="V416" s="1" t="s">
        <v>142</v>
      </c>
      <c r="W416" s="1"/>
      <c r="X416" s="1" t="s">
        <v>1064</v>
      </c>
      <c r="Y416" s="1" t="s">
        <v>678</v>
      </c>
      <c r="Z416" s="1" t="s">
        <v>43</v>
      </c>
      <c r="AA416" s="1">
        <v>2022</v>
      </c>
      <c r="AB416" s="1" t="s">
        <v>44</v>
      </c>
      <c r="AC416" s="1" t="s">
        <v>45</v>
      </c>
      <c r="AD416" s="1" t="s">
        <v>43</v>
      </c>
      <c r="AE416" s="1" t="s">
        <v>43</v>
      </c>
      <c r="AF416" s="1"/>
      <c r="AG416" s="1" t="s">
        <v>43</v>
      </c>
      <c r="AH416" s="2">
        <v>45504</v>
      </c>
    </row>
    <row r="417" spans="1:34" x14ac:dyDescent="0.3">
      <c r="A417" s="1">
        <v>8160308</v>
      </c>
      <c r="B417" s="1">
        <v>7.43</v>
      </c>
      <c r="C417" s="1">
        <v>249</v>
      </c>
      <c r="D417" s="1">
        <v>269</v>
      </c>
      <c r="E417" s="1" t="s">
        <v>43</v>
      </c>
      <c r="F417" s="1">
        <v>0</v>
      </c>
      <c r="G417" s="1" t="s">
        <v>1570</v>
      </c>
      <c r="H417" s="1" t="s">
        <v>1571</v>
      </c>
      <c r="I417" s="1" t="str">
        <f>HYPERLINK("https://www.systembolaget.se/produkt/vin/vinistella-8160308/","https://www.systembolaget.se/produkt/vin/vinistella-8160308/")</f>
        <v>https://www.systembolaget.se/produkt/vin/vinistella-8160308/</v>
      </c>
      <c r="J417" s="1">
        <v>7.43</v>
      </c>
      <c r="K417" s="1">
        <v>7.43</v>
      </c>
      <c r="L417" s="2">
        <v>45389</v>
      </c>
      <c r="M417" s="1" t="s">
        <v>1572</v>
      </c>
      <c r="N417" s="1">
        <v>1.69</v>
      </c>
      <c r="O417" s="1">
        <v>3000</v>
      </c>
      <c r="P417" s="1">
        <v>14</v>
      </c>
      <c r="Q417" s="1" t="s">
        <v>38</v>
      </c>
      <c r="R417" s="1" t="s">
        <v>52</v>
      </c>
      <c r="S417" s="1" t="s">
        <v>84</v>
      </c>
      <c r="T417" s="1"/>
      <c r="U417" s="1" t="s">
        <v>53</v>
      </c>
      <c r="V417" s="1" t="s">
        <v>651</v>
      </c>
      <c r="W417" s="1"/>
      <c r="X417" s="1" t="s">
        <v>451</v>
      </c>
      <c r="Y417" s="1" t="s">
        <v>334</v>
      </c>
      <c r="Z417" s="1" t="s">
        <v>46</v>
      </c>
      <c r="AA417" s="1">
        <v>2024</v>
      </c>
      <c r="AB417" s="1" t="s">
        <v>654</v>
      </c>
      <c r="AC417" s="1" t="s">
        <v>90</v>
      </c>
      <c r="AD417" s="1" t="s">
        <v>43</v>
      </c>
      <c r="AE417" s="1" t="s">
        <v>43</v>
      </c>
      <c r="AF417" s="1">
        <v>9</v>
      </c>
      <c r="AG417" s="1" t="s">
        <v>43</v>
      </c>
      <c r="AH417" s="2">
        <v>41946</v>
      </c>
    </row>
    <row r="418" spans="1:34" x14ac:dyDescent="0.3">
      <c r="A418" s="1">
        <v>8117301</v>
      </c>
      <c r="B418" s="1">
        <v>7.42</v>
      </c>
      <c r="C418" s="1">
        <v>2495</v>
      </c>
      <c r="D418" s="1">
        <v>2695</v>
      </c>
      <c r="E418" s="1" t="s">
        <v>43</v>
      </c>
      <c r="F418" s="1">
        <v>0</v>
      </c>
      <c r="G418" s="1" t="s">
        <v>1498</v>
      </c>
      <c r="H418" s="1" t="s">
        <v>1573</v>
      </c>
      <c r="I418" s="1" t="str">
        <f>HYPERLINK("https://www.systembolaget.se/produkt/vin/piper-heidsieck-8117301/","https://www.systembolaget.se/produkt/vin/piper-heidsieck-8117301/")</f>
        <v>https://www.systembolaget.se/produkt/vin/piper-heidsieck-8117301/</v>
      </c>
      <c r="J418" s="1">
        <v>7.42</v>
      </c>
      <c r="K418" s="1">
        <v>7.42</v>
      </c>
      <c r="L418" s="2">
        <v>45516</v>
      </c>
      <c r="M418" s="1" t="s">
        <v>1574</v>
      </c>
      <c r="N418" s="1">
        <v>0.04</v>
      </c>
      <c r="O418" s="1">
        <v>750</v>
      </c>
      <c r="P418" s="1">
        <v>12</v>
      </c>
      <c r="Q418" s="1" t="s">
        <v>38</v>
      </c>
      <c r="R418" s="1" t="s">
        <v>61</v>
      </c>
      <c r="S418" s="1" t="s">
        <v>68</v>
      </c>
      <c r="T418" s="1"/>
      <c r="U418" s="1" t="s">
        <v>101</v>
      </c>
      <c r="V418" s="1" t="s">
        <v>346</v>
      </c>
      <c r="W418" s="1"/>
      <c r="X418" s="1" t="s">
        <v>1499</v>
      </c>
      <c r="Y418" s="1" t="s">
        <v>1500</v>
      </c>
      <c r="Z418" s="1" t="s">
        <v>43</v>
      </c>
      <c r="AA418" s="1">
        <v>2013</v>
      </c>
      <c r="AB418" s="1" t="s">
        <v>44</v>
      </c>
      <c r="AC418" s="1" t="s">
        <v>45</v>
      </c>
      <c r="AD418" s="1" t="s">
        <v>43</v>
      </c>
      <c r="AE418" s="1" t="s">
        <v>43</v>
      </c>
      <c r="AF418" s="1"/>
      <c r="AG418" s="1" t="s">
        <v>43</v>
      </c>
      <c r="AH418" s="2">
        <v>38565</v>
      </c>
    </row>
    <row r="419" spans="1:34" x14ac:dyDescent="0.3">
      <c r="A419" s="1">
        <v>42101</v>
      </c>
      <c r="B419" s="1">
        <v>7.29</v>
      </c>
      <c r="C419" s="1">
        <v>649</v>
      </c>
      <c r="D419" s="1">
        <v>700</v>
      </c>
      <c r="E419" s="1" t="s">
        <v>43</v>
      </c>
      <c r="F419" s="1">
        <v>0</v>
      </c>
      <c r="G419" s="1" t="s">
        <v>315</v>
      </c>
      <c r="H419" s="1" t="s">
        <v>792</v>
      </c>
      <c r="I419" s="1" t="str">
        <f>HYPERLINK("https://www.systembolaget.se/produkt/sprit/glengoyne-42101/","https://www.systembolaget.se/produkt/sprit/glengoyne-42101/")</f>
        <v>https://www.systembolaget.se/produkt/sprit/glengoyne-42101/</v>
      </c>
      <c r="J419" s="1">
        <v>7.15</v>
      </c>
      <c r="K419" s="1">
        <v>7.29</v>
      </c>
      <c r="L419" s="2">
        <v>45389</v>
      </c>
      <c r="M419" s="1" t="s">
        <v>1575</v>
      </c>
      <c r="N419" s="1">
        <v>0.46</v>
      </c>
      <c r="O419" s="1">
        <v>700</v>
      </c>
      <c r="P419" s="1">
        <v>43</v>
      </c>
      <c r="Q419" s="1" t="s">
        <v>308</v>
      </c>
      <c r="R419" s="1" t="s">
        <v>309</v>
      </c>
      <c r="S419" s="1" t="s">
        <v>318</v>
      </c>
      <c r="T419" s="1"/>
      <c r="U419" s="1" t="s">
        <v>253</v>
      </c>
      <c r="V419" s="1" t="s">
        <v>254</v>
      </c>
      <c r="W419" s="1" t="s">
        <v>721</v>
      </c>
      <c r="X419" s="1" t="s">
        <v>319</v>
      </c>
      <c r="Y419" s="1" t="s">
        <v>256</v>
      </c>
      <c r="Z419" s="1" t="s">
        <v>43</v>
      </c>
      <c r="AA419" s="1"/>
      <c r="AB419" s="1" t="s">
        <v>44</v>
      </c>
      <c r="AC419" s="1" t="s">
        <v>45</v>
      </c>
      <c r="AD419" s="1" t="s">
        <v>43</v>
      </c>
      <c r="AE419" s="1" t="s">
        <v>43</v>
      </c>
      <c r="AF419" s="1"/>
      <c r="AG419" s="1" t="s">
        <v>43</v>
      </c>
      <c r="AH419" s="2">
        <v>41974</v>
      </c>
    </row>
    <row r="420" spans="1:34" x14ac:dyDescent="0.3">
      <c r="A420" s="1">
        <v>1902335</v>
      </c>
      <c r="B420" s="1">
        <v>7.24</v>
      </c>
      <c r="C420" s="1">
        <v>12.3</v>
      </c>
      <c r="D420" s="1">
        <v>13.26</v>
      </c>
      <c r="E420" s="1" t="s">
        <v>459</v>
      </c>
      <c r="F420" s="1">
        <v>0</v>
      </c>
      <c r="G420" s="1" t="s">
        <v>1576</v>
      </c>
      <c r="H420" s="1" t="s">
        <v>1577</v>
      </c>
      <c r="I420" s="1" t="str">
        <f>HYPERLINK("https://www.systembolaget.se/produkt/alkoholfritt/heineken-0-0-1902335/","https://www.systembolaget.se/produkt/alkoholfritt/heineken-0-0-1902335/")</f>
        <v>https://www.systembolaget.se/produkt/alkoholfritt/heineken-0-0-1902335/</v>
      </c>
      <c r="J420" s="1"/>
      <c r="K420" s="1">
        <v>7.24</v>
      </c>
      <c r="L420" s="2">
        <v>46214</v>
      </c>
      <c r="M420" s="1" t="s">
        <v>1578</v>
      </c>
      <c r="N420" s="1"/>
      <c r="O420" s="1">
        <v>330</v>
      </c>
      <c r="P420" s="1">
        <v>0</v>
      </c>
      <c r="Q420" s="1" t="s">
        <v>1579</v>
      </c>
      <c r="R420" s="1" t="s">
        <v>107</v>
      </c>
      <c r="S420" s="1" t="s">
        <v>134</v>
      </c>
      <c r="T420" s="1" t="s">
        <v>243</v>
      </c>
      <c r="U420" s="1" t="s">
        <v>1580</v>
      </c>
      <c r="V420" s="1"/>
      <c r="W420" s="1"/>
      <c r="X420" s="1" t="s">
        <v>1581</v>
      </c>
      <c r="Y420" s="1" t="s">
        <v>285</v>
      </c>
      <c r="Z420" s="1" t="s">
        <v>43</v>
      </c>
      <c r="AA420" s="1"/>
      <c r="AB420" s="1" t="s">
        <v>114</v>
      </c>
      <c r="AC420" s="1" t="s">
        <v>90</v>
      </c>
      <c r="AD420" s="1" t="s">
        <v>43</v>
      </c>
      <c r="AE420" s="1" t="s">
        <v>46</v>
      </c>
      <c r="AF420" s="1"/>
      <c r="AG420" s="1" t="s">
        <v>43</v>
      </c>
      <c r="AH420" s="2">
        <v>46235</v>
      </c>
    </row>
    <row r="421" spans="1:34" x14ac:dyDescent="0.3">
      <c r="A421" s="1">
        <v>687308</v>
      </c>
      <c r="B421" s="1">
        <v>7.2</v>
      </c>
      <c r="C421" s="1">
        <v>219</v>
      </c>
      <c r="D421" s="1">
        <v>236</v>
      </c>
      <c r="E421" s="1" t="s">
        <v>43</v>
      </c>
      <c r="F421" s="1">
        <v>0</v>
      </c>
      <c r="G421" s="1" t="s">
        <v>492</v>
      </c>
      <c r="H421" s="1" t="s">
        <v>1582</v>
      </c>
      <c r="I421" s="1" t="str">
        <f>HYPERLINK("https://www.systembolaget.se/produkt/vin/chill-out-687308/","https://www.systembolaget.se/produkt/vin/chill-out-687308/")</f>
        <v>https://www.systembolaget.se/produkt/vin/chill-out-687308/</v>
      </c>
      <c r="J421" s="1">
        <v>0</v>
      </c>
      <c r="K421" s="1">
        <v>7.2</v>
      </c>
      <c r="L421" s="2">
        <v>45476</v>
      </c>
      <c r="M421" s="1" t="s">
        <v>1583</v>
      </c>
      <c r="N421" s="1">
        <v>1.85</v>
      </c>
      <c r="O421" s="1">
        <v>3000</v>
      </c>
      <c r="P421" s="1">
        <v>13.5</v>
      </c>
      <c r="Q421" s="1" t="s">
        <v>38</v>
      </c>
      <c r="R421" s="1" t="s">
        <v>52</v>
      </c>
      <c r="S421" s="1" t="s">
        <v>72</v>
      </c>
      <c r="T421" s="1"/>
      <c r="U421" s="1" t="s">
        <v>149</v>
      </c>
      <c r="V421" s="1" t="s">
        <v>1584</v>
      </c>
      <c r="W421" s="1"/>
      <c r="X421" s="1" t="s">
        <v>495</v>
      </c>
      <c r="Y421" s="1" t="s">
        <v>496</v>
      </c>
      <c r="Z421" s="1" t="s">
        <v>43</v>
      </c>
      <c r="AA421" s="1">
        <v>2025</v>
      </c>
      <c r="AB421" s="1" t="s">
        <v>654</v>
      </c>
      <c r="AC421" s="1" t="s">
        <v>90</v>
      </c>
      <c r="AD421" s="1" t="s">
        <v>43</v>
      </c>
      <c r="AE421" s="1" t="s">
        <v>43</v>
      </c>
      <c r="AF421" s="1">
        <v>6</v>
      </c>
      <c r="AG421" s="1" t="s">
        <v>43</v>
      </c>
      <c r="AH421" s="2">
        <v>37564</v>
      </c>
    </row>
    <row r="422" spans="1:34" x14ac:dyDescent="0.3">
      <c r="A422" s="1">
        <v>669501</v>
      </c>
      <c r="B422" s="1">
        <v>7.19</v>
      </c>
      <c r="C422" s="1">
        <v>129</v>
      </c>
      <c r="D422" s="1">
        <v>139</v>
      </c>
      <c r="E422" s="1" t="s">
        <v>43</v>
      </c>
      <c r="F422" s="1">
        <v>0</v>
      </c>
      <c r="G422" s="1" t="s">
        <v>1585</v>
      </c>
      <c r="H422" s="1" t="s">
        <v>1586</v>
      </c>
      <c r="I422" s="1" t="str">
        <f>HYPERLINK("https://www.systembolaget.se/produkt/vin/markowitsch-669501/","https://www.systembolaget.se/produkt/vin/markowitsch-669501/")</f>
        <v>https://www.systembolaget.se/produkt/vin/markowitsch-669501/</v>
      </c>
      <c r="J422" s="1">
        <v>7.19</v>
      </c>
      <c r="K422" s="1">
        <v>7.19</v>
      </c>
      <c r="L422" s="2">
        <v>45389</v>
      </c>
      <c r="M422" s="1" t="s">
        <v>1587</v>
      </c>
      <c r="N422" s="1">
        <v>0.78</v>
      </c>
      <c r="O422" s="1">
        <v>750</v>
      </c>
      <c r="P422" s="1">
        <v>13.5</v>
      </c>
      <c r="Q422" s="1" t="s">
        <v>38</v>
      </c>
      <c r="R422" s="1" t="s">
        <v>52</v>
      </c>
      <c r="S422" s="1" t="s">
        <v>72</v>
      </c>
      <c r="T422" s="1"/>
      <c r="U422" s="1" t="s">
        <v>295</v>
      </c>
      <c r="V422" s="1" t="s">
        <v>1588</v>
      </c>
      <c r="W422" s="1"/>
      <c r="X422" s="1" t="s">
        <v>1589</v>
      </c>
      <c r="Y422" s="1" t="s">
        <v>1590</v>
      </c>
      <c r="Z422" s="1" t="s">
        <v>43</v>
      </c>
      <c r="AA422" s="1">
        <v>2023</v>
      </c>
      <c r="AB422" s="1" t="s">
        <v>77</v>
      </c>
      <c r="AC422" s="1" t="s">
        <v>90</v>
      </c>
      <c r="AD422" s="1" t="s">
        <v>43</v>
      </c>
      <c r="AE422" s="1" t="s">
        <v>43</v>
      </c>
      <c r="AF422" s="1">
        <v>2</v>
      </c>
      <c r="AG422" s="1" t="s">
        <v>43</v>
      </c>
      <c r="AH422" s="2">
        <v>40817</v>
      </c>
    </row>
    <row r="423" spans="1:34" x14ac:dyDescent="0.3">
      <c r="A423" s="1">
        <v>5256801</v>
      </c>
      <c r="B423" s="1">
        <v>7.19</v>
      </c>
      <c r="C423" s="1">
        <v>129</v>
      </c>
      <c r="D423" s="1">
        <v>139</v>
      </c>
      <c r="E423" s="1" t="s">
        <v>43</v>
      </c>
      <c r="F423" s="1">
        <v>0</v>
      </c>
      <c r="G423" s="1" t="s">
        <v>1591</v>
      </c>
      <c r="H423" s="1" t="s">
        <v>1592</v>
      </c>
      <c r="I423" s="1" t="str">
        <f>HYPERLINK("https://www.systembolaget.se/produkt/vin/casteloro-5256801/","https://www.systembolaget.se/produkt/vin/casteloro-5256801/")</f>
        <v>https://www.systembolaget.se/produkt/vin/casteloro-5256801/</v>
      </c>
      <c r="J423" s="1">
        <v>13.42</v>
      </c>
      <c r="K423" s="1">
        <v>7.19</v>
      </c>
      <c r="L423" s="2">
        <v>45389</v>
      </c>
      <c r="M423" s="1" t="s">
        <v>1593</v>
      </c>
      <c r="N423" s="1">
        <v>0.78</v>
      </c>
      <c r="O423" s="1">
        <v>750</v>
      </c>
      <c r="P423" s="1">
        <v>13.5</v>
      </c>
      <c r="Q423" s="1" t="s">
        <v>38</v>
      </c>
      <c r="R423" s="1" t="s">
        <v>52</v>
      </c>
      <c r="S423" s="1" t="s">
        <v>386</v>
      </c>
      <c r="T423" s="1"/>
      <c r="U423" s="1" t="s">
        <v>53</v>
      </c>
      <c r="V423" s="1" t="s">
        <v>202</v>
      </c>
      <c r="W423" s="1" t="s">
        <v>265</v>
      </c>
      <c r="X423" s="1" t="s">
        <v>666</v>
      </c>
      <c r="Y423" s="1" t="s">
        <v>666</v>
      </c>
      <c r="Z423" s="1" t="s">
        <v>46</v>
      </c>
      <c r="AA423" s="1">
        <v>2023</v>
      </c>
      <c r="AB423" s="1" t="s">
        <v>44</v>
      </c>
      <c r="AC423" s="1" t="s">
        <v>90</v>
      </c>
      <c r="AD423" s="1" t="s">
        <v>43</v>
      </c>
      <c r="AE423" s="1" t="s">
        <v>43</v>
      </c>
      <c r="AF423" s="1">
        <v>8</v>
      </c>
      <c r="AG423" s="1" t="s">
        <v>43</v>
      </c>
      <c r="AH423" s="2">
        <v>44412</v>
      </c>
    </row>
    <row r="424" spans="1:34" x14ac:dyDescent="0.3">
      <c r="A424" s="1">
        <v>5365401</v>
      </c>
      <c r="B424" s="1">
        <v>7.17</v>
      </c>
      <c r="C424" s="1">
        <v>259</v>
      </c>
      <c r="D424" s="1">
        <v>279</v>
      </c>
      <c r="E424" s="1" t="s">
        <v>43</v>
      </c>
      <c r="F424" s="1">
        <v>0</v>
      </c>
      <c r="G424" s="1" t="s">
        <v>1594</v>
      </c>
      <c r="H424" s="1" t="s">
        <v>1595</v>
      </c>
      <c r="I424" s="1" t="str">
        <f>HYPERLINK("https://www.systembolaget.se/produkt/vin/alheit-vineyards-5365401/","https://www.systembolaget.se/produkt/vin/alheit-vineyards-5365401/")</f>
        <v>https://www.systembolaget.se/produkt/vin/alheit-vineyards-5365401/</v>
      </c>
      <c r="J424" s="1">
        <v>7.17</v>
      </c>
      <c r="K424" s="1">
        <v>7.17</v>
      </c>
      <c r="L424" s="2">
        <v>45389</v>
      </c>
      <c r="M424" s="1" t="s">
        <v>1596</v>
      </c>
      <c r="N424" s="1">
        <v>0.38</v>
      </c>
      <c r="O424" s="1">
        <v>750</v>
      </c>
      <c r="P424" s="1">
        <v>13</v>
      </c>
      <c r="Q424" s="1" t="s">
        <v>38</v>
      </c>
      <c r="R424" s="1" t="s">
        <v>39</v>
      </c>
      <c r="S424" s="1"/>
      <c r="T424" s="1"/>
      <c r="U424" s="1" t="s">
        <v>289</v>
      </c>
      <c r="V424" s="1" t="s">
        <v>290</v>
      </c>
      <c r="W424" s="1"/>
      <c r="X424" s="1" t="s">
        <v>1594</v>
      </c>
      <c r="Y424" s="1" t="s">
        <v>219</v>
      </c>
      <c r="Z424" s="1" t="s">
        <v>43</v>
      </c>
      <c r="AA424" s="1">
        <v>2022</v>
      </c>
      <c r="AB424" s="1" t="s">
        <v>44</v>
      </c>
      <c r="AC424" s="1" t="s">
        <v>45</v>
      </c>
      <c r="AD424" s="1" t="s">
        <v>43</v>
      </c>
      <c r="AE424" s="1" t="s">
        <v>43</v>
      </c>
      <c r="AF424" s="1"/>
      <c r="AG424" s="1" t="s">
        <v>43</v>
      </c>
      <c r="AH424" s="2">
        <v>44515</v>
      </c>
    </row>
    <row r="425" spans="1:34" x14ac:dyDescent="0.3">
      <c r="A425" s="1">
        <v>7487801</v>
      </c>
      <c r="B425" s="1">
        <v>7.15</v>
      </c>
      <c r="C425" s="1">
        <v>2599</v>
      </c>
      <c r="D425" s="1">
        <v>2799</v>
      </c>
      <c r="E425" s="1" t="s">
        <v>43</v>
      </c>
      <c r="F425" s="1">
        <v>0</v>
      </c>
      <c r="G425" s="1" t="s">
        <v>1597</v>
      </c>
      <c r="H425" s="1" t="s">
        <v>1452</v>
      </c>
      <c r="I425" s="1" t="str">
        <f>HYPERLINK("https://www.systembolaget.se/produkt/vin/corton-charlemagne-grand-cru-domaine-7487801/","https://www.systembolaget.se/produkt/vin/corton-charlemagne-grand-cru-domaine-7487801/")</f>
        <v>https://www.systembolaget.se/produkt/vin/corton-charlemagne-grand-cru-domaine-7487801/</v>
      </c>
      <c r="J425" s="1">
        <v>7.15</v>
      </c>
      <c r="K425" s="1">
        <v>7.15</v>
      </c>
      <c r="L425" s="2">
        <v>45581</v>
      </c>
      <c r="M425" s="1" t="s">
        <v>1598</v>
      </c>
      <c r="N425" s="1">
        <v>0.04</v>
      </c>
      <c r="O425" s="1">
        <v>750</v>
      </c>
      <c r="P425" s="1">
        <v>13.5</v>
      </c>
      <c r="Q425" s="1" t="s">
        <v>38</v>
      </c>
      <c r="R425" s="1" t="s">
        <v>39</v>
      </c>
      <c r="S425" s="1"/>
      <c r="T425" s="1"/>
      <c r="U425" s="1" t="s">
        <v>101</v>
      </c>
      <c r="V425" s="1" t="s">
        <v>142</v>
      </c>
      <c r="W425" s="1" t="s">
        <v>143</v>
      </c>
      <c r="X425" s="1" t="s">
        <v>1176</v>
      </c>
      <c r="Y425" s="1" t="s">
        <v>678</v>
      </c>
      <c r="Z425" s="1" t="s">
        <v>43</v>
      </c>
      <c r="AA425" s="1">
        <v>2021</v>
      </c>
      <c r="AB425" s="1" t="s">
        <v>44</v>
      </c>
      <c r="AC425" s="1" t="s">
        <v>45</v>
      </c>
      <c r="AD425" s="1" t="s">
        <v>43</v>
      </c>
      <c r="AE425" s="1" t="s">
        <v>43</v>
      </c>
      <c r="AF425" s="1"/>
      <c r="AG425" s="1" t="s">
        <v>43</v>
      </c>
      <c r="AH425" s="2">
        <v>45588</v>
      </c>
    </row>
    <row r="426" spans="1:34" x14ac:dyDescent="0.3">
      <c r="A426" s="1">
        <v>7965301</v>
      </c>
      <c r="B426" s="1">
        <v>7.15</v>
      </c>
      <c r="C426" s="1">
        <v>649</v>
      </c>
      <c r="D426" s="1">
        <v>699</v>
      </c>
      <c r="E426" s="1" t="s">
        <v>43</v>
      </c>
      <c r="F426" s="1">
        <v>0</v>
      </c>
      <c r="G426" s="1" t="s">
        <v>1599</v>
      </c>
      <c r="H426" s="1" t="s">
        <v>1600</v>
      </c>
      <c r="I426" s="1" t="str">
        <f>HYPERLINK("https://www.systembolaget.se/produkt/vin/gran-faustino-i-7965301/","https://www.systembolaget.se/produkt/vin/gran-faustino-i-7965301/")</f>
        <v>https://www.systembolaget.se/produkt/vin/gran-faustino-i-7965301/</v>
      </c>
      <c r="J426" s="1">
        <v>7.15</v>
      </c>
      <c r="K426" s="1">
        <v>7.15</v>
      </c>
      <c r="L426" s="2">
        <v>45924</v>
      </c>
      <c r="M426" s="1" t="s">
        <v>1601</v>
      </c>
      <c r="N426" s="1">
        <v>0.16</v>
      </c>
      <c r="O426" s="1">
        <v>750</v>
      </c>
      <c r="P426" s="1">
        <v>13.5</v>
      </c>
      <c r="Q426" s="1" t="s">
        <v>38</v>
      </c>
      <c r="R426" s="1" t="s">
        <v>52</v>
      </c>
      <c r="S426" s="1"/>
      <c r="T426" s="1"/>
      <c r="U426" s="1" t="s">
        <v>164</v>
      </c>
      <c r="V426" s="1" t="s">
        <v>192</v>
      </c>
      <c r="W426" s="1"/>
      <c r="X426" s="1" t="s">
        <v>1602</v>
      </c>
      <c r="Y426" s="1" t="s">
        <v>423</v>
      </c>
      <c r="Z426" s="1" t="s">
        <v>43</v>
      </c>
      <c r="AA426" s="1">
        <v>2004</v>
      </c>
      <c r="AB426" s="1" t="s">
        <v>44</v>
      </c>
      <c r="AC426" s="1" t="s">
        <v>45</v>
      </c>
      <c r="AD426" s="1" t="s">
        <v>43</v>
      </c>
      <c r="AE426" s="1" t="s">
        <v>43</v>
      </c>
      <c r="AF426" s="1"/>
      <c r="AG426" s="1" t="s">
        <v>43</v>
      </c>
      <c r="AH426" s="2">
        <v>45931</v>
      </c>
    </row>
    <row r="427" spans="1:34" x14ac:dyDescent="0.3">
      <c r="A427" s="1">
        <v>9432601</v>
      </c>
      <c r="B427" s="1">
        <v>7.15</v>
      </c>
      <c r="C427" s="1">
        <v>2599</v>
      </c>
      <c r="D427" s="1">
        <v>2799</v>
      </c>
      <c r="E427" s="1" t="s">
        <v>43</v>
      </c>
      <c r="F427" s="1">
        <v>0</v>
      </c>
      <c r="G427" s="1" t="s">
        <v>1603</v>
      </c>
      <c r="H427" s="1" t="s">
        <v>1176</v>
      </c>
      <c r="I427" s="1" t="str">
        <f>HYPERLINK("https://www.systembolaget.se/produkt/vin/corton-charlemagne-grand-cru-9432601/","https://www.systembolaget.se/produkt/vin/corton-charlemagne-grand-cru-9432601/")</f>
        <v>https://www.systembolaget.se/produkt/vin/corton-charlemagne-grand-cru-9432601/</v>
      </c>
      <c r="J427" s="1">
        <v>3.71</v>
      </c>
      <c r="K427" s="1">
        <v>7.15</v>
      </c>
      <c r="L427" s="2">
        <v>45953</v>
      </c>
      <c r="M427" s="1" t="s">
        <v>1604</v>
      </c>
      <c r="N427" s="1">
        <v>0.04</v>
      </c>
      <c r="O427" s="1">
        <v>750</v>
      </c>
      <c r="P427" s="1">
        <v>13.5</v>
      </c>
      <c r="Q427" s="1" t="s">
        <v>38</v>
      </c>
      <c r="R427" s="1" t="s">
        <v>39</v>
      </c>
      <c r="S427" s="1"/>
      <c r="T427" s="1"/>
      <c r="U427" s="1" t="s">
        <v>101</v>
      </c>
      <c r="V427" s="1" t="s">
        <v>142</v>
      </c>
      <c r="W427" s="1" t="s">
        <v>143</v>
      </c>
      <c r="X427" s="1" t="s">
        <v>1176</v>
      </c>
      <c r="Y427" s="1" t="s">
        <v>678</v>
      </c>
      <c r="Z427" s="1" t="s">
        <v>43</v>
      </c>
      <c r="AA427" s="1">
        <v>2022</v>
      </c>
      <c r="AB427" s="1" t="s">
        <v>44</v>
      </c>
      <c r="AC427" s="1" t="s">
        <v>45</v>
      </c>
      <c r="AD427" s="1" t="s">
        <v>43</v>
      </c>
      <c r="AE427" s="1" t="s">
        <v>43</v>
      </c>
      <c r="AF427" s="1"/>
      <c r="AG427" s="1" t="s">
        <v>43</v>
      </c>
      <c r="AH427" s="2">
        <v>45974</v>
      </c>
    </row>
    <row r="428" spans="1:34" x14ac:dyDescent="0.3">
      <c r="A428" s="1">
        <v>7536101</v>
      </c>
      <c r="B428" s="1">
        <v>7.14</v>
      </c>
      <c r="C428" s="1">
        <v>6499</v>
      </c>
      <c r="D428" s="1">
        <v>6999</v>
      </c>
      <c r="E428" s="1" t="s">
        <v>43</v>
      </c>
      <c r="F428" s="1">
        <v>0</v>
      </c>
      <c r="G428" s="1" t="s">
        <v>1277</v>
      </c>
      <c r="H428" s="1" t="s">
        <v>723</v>
      </c>
      <c r="I428" s="1" t="str">
        <f>HYPERLINK("https://www.systembolaget.se/produkt/vin/latricieres-chambertin-grand-cru-7536101/","https://www.systembolaget.se/produkt/vin/latricieres-chambertin-grand-cru-7536101/")</f>
        <v>https://www.systembolaget.se/produkt/vin/latricieres-chambertin-grand-cru-7536101/</v>
      </c>
      <c r="J428" s="1">
        <v>7.14</v>
      </c>
      <c r="K428" s="1">
        <v>7.14</v>
      </c>
      <c r="L428" s="2">
        <v>45460</v>
      </c>
      <c r="M428" s="1" t="s">
        <v>1605</v>
      </c>
      <c r="N428" s="1">
        <v>0.02</v>
      </c>
      <c r="O428" s="1">
        <v>750</v>
      </c>
      <c r="P428" s="1">
        <v>13</v>
      </c>
      <c r="Q428" s="1" t="s">
        <v>38</v>
      </c>
      <c r="R428" s="1" t="s">
        <v>52</v>
      </c>
      <c r="S428" s="1"/>
      <c r="T428" s="1"/>
      <c r="U428" s="1" t="s">
        <v>101</v>
      </c>
      <c r="V428" s="1" t="s">
        <v>142</v>
      </c>
      <c r="W428" s="1" t="s">
        <v>725</v>
      </c>
      <c r="X428" s="1" t="s">
        <v>723</v>
      </c>
      <c r="Y428" s="1" t="s">
        <v>678</v>
      </c>
      <c r="Z428" s="1" t="s">
        <v>46</v>
      </c>
      <c r="AA428" s="1">
        <v>2021</v>
      </c>
      <c r="AB428" s="1" t="s">
        <v>44</v>
      </c>
      <c r="AC428" s="1" t="s">
        <v>45</v>
      </c>
      <c r="AD428" s="1" t="s">
        <v>43</v>
      </c>
      <c r="AE428" s="1" t="s">
        <v>43</v>
      </c>
      <c r="AF428" s="1"/>
      <c r="AG428" s="1" t="s">
        <v>43</v>
      </c>
      <c r="AH428" s="2">
        <v>45467</v>
      </c>
    </row>
    <row r="429" spans="1:34" x14ac:dyDescent="0.3">
      <c r="A429" s="1">
        <v>7225801</v>
      </c>
      <c r="B429" s="1">
        <v>7.14</v>
      </c>
      <c r="C429" s="1">
        <v>6499</v>
      </c>
      <c r="D429" s="1">
        <v>6999</v>
      </c>
      <c r="E429" s="1" t="s">
        <v>43</v>
      </c>
      <c r="F429" s="1">
        <v>0</v>
      </c>
      <c r="G429" s="1" t="s">
        <v>1275</v>
      </c>
      <c r="H429" s="1" t="s">
        <v>723</v>
      </c>
      <c r="I429" s="1" t="str">
        <f>HYPERLINK("https://www.systembolaget.se/produkt/vin/chapelle-chambertin-grand-cru-7225801/","https://www.systembolaget.se/produkt/vin/chapelle-chambertin-grand-cru-7225801/")</f>
        <v>https://www.systembolaget.se/produkt/vin/chapelle-chambertin-grand-cru-7225801/</v>
      </c>
      <c r="J429" s="1">
        <v>7.14</v>
      </c>
      <c r="K429" s="1">
        <v>7.14</v>
      </c>
      <c r="L429" s="2">
        <v>45460</v>
      </c>
      <c r="M429" s="1" t="s">
        <v>1605</v>
      </c>
      <c r="N429" s="1">
        <v>0.02</v>
      </c>
      <c r="O429" s="1">
        <v>750</v>
      </c>
      <c r="P429" s="1">
        <v>13</v>
      </c>
      <c r="Q429" s="1" t="s">
        <v>38</v>
      </c>
      <c r="R429" s="1" t="s">
        <v>52</v>
      </c>
      <c r="S429" s="1"/>
      <c r="T429" s="1"/>
      <c r="U429" s="1" t="s">
        <v>101</v>
      </c>
      <c r="V429" s="1" t="s">
        <v>142</v>
      </c>
      <c r="W429" s="1" t="s">
        <v>725</v>
      </c>
      <c r="X429" s="1" t="s">
        <v>723</v>
      </c>
      <c r="Y429" s="1" t="s">
        <v>678</v>
      </c>
      <c r="Z429" s="1" t="s">
        <v>46</v>
      </c>
      <c r="AA429" s="1">
        <v>2021</v>
      </c>
      <c r="AB429" s="1" t="s">
        <v>44</v>
      </c>
      <c r="AC429" s="1" t="s">
        <v>45</v>
      </c>
      <c r="AD429" s="1" t="s">
        <v>43</v>
      </c>
      <c r="AE429" s="1" t="s">
        <v>43</v>
      </c>
      <c r="AF429" s="1"/>
      <c r="AG429" s="1" t="s">
        <v>43</v>
      </c>
      <c r="AH429" s="2">
        <v>45467</v>
      </c>
    </row>
    <row r="430" spans="1:34" x14ac:dyDescent="0.3">
      <c r="A430" s="1">
        <v>3192003</v>
      </c>
      <c r="B430" s="1">
        <v>7.14</v>
      </c>
      <c r="C430" s="1">
        <v>29.9</v>
      </c>
      <c r="D430" s="1">
        <v>32.200000000000003</v>
      </c>
      <c r="E430" s="1" t="s">
        <v>43</v>
      </c>
      <c r="F430" s="1">
        <v>0</v>
      </c>
      <c r="G430" s="1" t="s">
        <v>838</v>
      </c>
      <c r="H430" s="1" t="s">
        <v>1606</v>
      </c>
      <c r="I430" s="1" t="str">
        <f>HYPERLINK("https://www.systembolaget.se/produkt/ol/roslagens-brygghus-3192003/","https://www.systembolaget.se/produkt/ol/roslagens-brygghus-3192003/")</f>
        <v>https://www.systembolaget.se/produkt/ol/roslagens-brygghus-3192003/</v>
      </c>
      <c r="J430" s="1"/>
      <c r="K430" s="1">
        <v>7.14</v>
      </c>
      <c r="L430" s="2">
        <v>46160</v>
      </c>
      <c r="M430" s="1" t="s">
        <v>1607</v>
      </c>
      <c r="N430" s="1">
        <v>0.55000000000000004</v>
      </c>
      <c r="O430" s="1">
        <v>330</v>
      </c>
      <c r="P430" s="1">
        <v>5</v>
      </c>
      <c r="Q430" s="1" t="s">
        <v>107</v>
      </c>
      <c r="R430" s="1" t="s">
        <v>134</v>
      </c>
      <c r="S430" s="1" t="s">
        <v>1608</v>
      </c>
      <c r="T430" s="1"/>
      <c r="U430" s="1" t="s">
        <v>110</v>
      </c>
      <c r="V430" s="1" t="s">
        <v>380</v>
      </c>
      <c r="W430" s="1" t="s">
        <v>837</v>
      </c>
      <c r="X430" s="1" t="s">
        <v>838</v>
      </c>
      <c r="Y430" s="1" t="s">
        <v>839</v>
      </c>
      <c r="Z430" s="1" t="s">
        <v>43</v>
      </c>
      <c r="AA430" s="1"/>
      <c r="AB430" s="1" t="s">
        <v>44</v>
      </c>
      <c r="AC430" s="1" t="s">
        <v>115</v>
      </c>
      <c r="AD430" s="1" t="s">
        <v>43</v>
      </c>
      <c r="AE430" s="1" t="s">
        <v>43</v>
      </c>
      <c r="AF430" s="1"/>
      <c r="AG430" s="1" t="s">
        <v>43</v>
      </c>
      <c r="AH430" s="2">
        <v>46181</v>
      </c>
    </row>
    <row r="431" spans="1:34" x14ac:dyDescent="0.3">
      <c r="A431" s="1">
        <v>7779601</v>
      </c>
      <c r="B431" s="1">
        <v>7.06</v>
      </c>
      <c r="C431" s="1">
        <v>79</v>
      </c>
      <c r="D431" s="1">
        <v>85</v>
      </c>
      <c r="E431" s="1" t="s">
        <v>43</v>
      </c>
      <c r="F431" s="1">
        <v>0</v>
      </c>
      <c r="G431" s="1" t="s">
        <v>1609</v>
      </c>
      <c r="H431" s="1" t="s">
        <v>559</v>
      </c>
      <c r="I431" s="1" t="str">
        <f>HYPERLINK("https://www.systembolaget.se/produkt/vin/jean-viderue-7779601/","https://www.systembolaget.se/produkt/vin/jean-viderue-7779601/")</f>
        <v>https://www.systembolaget.se/produkt/vin/jean-viderue-7779601/</v>
      </c>
      <c r="J431" s="1">
        <v>7.06</v>
      </c>
      <c r="K431" s="1">
        <v>7.06</v>
      </c>
      <c r="L431" s="2">
        <v>45803</v>
      </c>
      <c r="M431" s="1" t="s">
        <v>1610</v>
      </c>
      <c r="N431" s="1">
        <v>1.28</v>
      </c>
      <c r="O431" s="1">
        <v>750</v>
      </c>
      <c r="P431" s="1">
        <v>13.5</v>
      </c>
      <c r="Q431" s="1" t="s">
        <v>38</v>
      </c>
      <c r="R431" s="1" t="s">
        <v>52</v>
      </c>
      <c r="S431" s="1" t="s">
        <v>386</v>
      </c>
      <c r="T431" s="1"/>
      <c r="U431" s="1" t="s">
        <v>101</v>
      </c>
      <c r="V431" s="1" t="s">
        <v>474</v>
      </c>
      <c r="W431" s="1"/>
      <c r="X431" s="1" t="s">
        <v>1611</v>
      </c>
      <c r="Y431" s="1" t="s">
        <v>1612</v>
      </c>
      <c r="Z431" s="1" t="s">
        <v>46</v>
      </c>
      <c r="AA431" s="1">
        <v>2022</v>
      </c>
      <c r="AB431" s="1" t="s">
        <v>77</v>
      </c>
      <c r="AC431" s="1" t="s">
        <v>90</v>
      </c>
      <c r="AD431" s="1" t="s">
        <v>43</v>
      </c>
      <c r="AE431" s="1" t="s">
        <v>43</v>
      </c>
      <c r="AF431" s="1">
        <v>2</v>
      </c>
      <c r="AG431" s="1" t="s">
        <v>43</v>
      </c>
      <c r="AH431" s="2">
        <v>45810</v>
      </c>
    </row>
    <row r="432" spans="1:34" x14ac:dyDescent="0.3">
      <c r="A432" s="1">
        <v>8015102</v>
      </c>
      <c r="B432" s="1">
        <v>7.01</v>
      </c>
      <c r="C432" s="1">
        <v>199</v>
      </c>
      <c r="D432" s="1">
        <v>214</v>
      </c>
      <c r="E432" s="1" t="s">
        <v>43</v>
      </c>
      <c r="F432" s="1">
        <v>0</v>
      </c>
      <c r="G432" s="1" t="s">
        <v>1613</v>
      </c>
      <c r="H432" s="1"/>
      <c r="I432" s="1" t="str">
        <f>HYPERLINK("https://www.systembolaget.se/produkt/sprit/luxardo-limoncello-8015102/","https://www.systembolaget.se/produkt/sprit/luxardo-limoncello-8015102/")</f>
        <v>https://www.systembolaget.se/produkt/sprit/luxardo-limoncello-8015102/</v>
      </c>
      <c r="J432" s="1">
        <v>7.01</v>
      </c>
      <c r="K432" s="1">
        <v>7.01</v>
      </c>
      <c r="L432" s="2">
        <v>45389</v>
      </c>
      <c r="M432" s="1" t="s">
        <v>1614</v>
      </c>
      <c r="N432" s="1">
        <v>0.68</v>
      </c>
      <c r="O432" s="1">
        <v>500</v>
      </c>
      <c r="P432" s="1">
        <v>27</v>
      </c>
      <c r="Q432" s="1" t="s">
        <v>308</v>
      </c>
      <c r="R432" s="1" t="s">
        <v>378</v>
      </c>
      <c r="S432" s="1" t="s">
        <v>379</v>
      </c>
      <c r="T432" s="1"/>
      <c r="U432" s="1" t="s">
        <v>53</v>
      </c>
      <c r="V432" s="1"/>
      <c r="W432" s="1"/>
      <c r="X432" s="1" t="s">
        <v>1615</v>
      </c>
      <c r="Y432" s="1" t="s">
        <v>219</v>
      </c>
      <c r="Z432" s="1" t="s">
        <v>43</v>
      </c>
      <c r="AA432" s="1"/>
      <c r="AB432" s="1" t="s">
        <v>44</v>
      </c>
      <c r="AC432" s="1" t="s">
        <v>45</v>
      </c>
      <c r="AD432" s="1" t="s">
        <v>43</v>
      </c>
      <c r="AE432" s="1" t="s">
        <v>43</v>
      </c>
      <c r="AF432" s="1"/>
      <c r="AG432" s="1" t="s">
        <v>43</v>
      </c>
      <c r="AH432" s="2">
        <v>37377</v>
      </c>
    </row>
    <row r="433" spans="1:34" x14ac:dyDescent="0.3">
      <c r="A433" s="1">
        <v>3339735</v>
      </c>
      <c r="B433" s="1">
        <v>7</v>
      </c>
      <c r="C433" s="1">
        <v>27.9</v>
      </c>
      <c r="D433" s="1">
        <v>30</v>
      </c>
      <c r="E433" s="1" t="s">
        <v>551</v>
      </c>
      <c r="F433" s="1">
        <v>0</v>
      </c>
      <c r="G433" s="1" t="s">
        <v>1616</v>
      </c>
      <c r="H433" s="1" t="s">
        <v>1617</v>
      </c>
      <c r="I433" s="1" t="str">
        <f>HYPERLINK("https://www.systembolaget.se/produkt/ol/vellinge-bryggeri-3339735/","https://www.systembolaget.se/produkt/ol/vellinge-bryggeri-3339735/")</f>
        <v>https://www.systembolaget.se/produkt/ol/vellinge-bryggeri-3339735/</v>
      </c>
      <c r="J433" s="1"/>
      <c r="K433" s="1">
        <v>7</v>
      </c>
      <c r="L433" s="2">
        <v>46104</v>
      </c>
      <c r="M433" s="1" t="s">
        <v>1618</v>
      </c>
      <c r="N433" s="1">
        <v>0.7</v>
      </c>
      <c r="O433" s="1">
        <v>330</v>
      </c>
      <c r="P433" s="1">
        <v>5.9</v>
      </c>
      <c r="Q433" s="1" t="s">
        <v>107</v>
      </c>
      <c r="R433" s="1" t="s">
        <v>108</v>
      </c>
      <c r="S433" s="1" t="s">
        <v>790</v>
      </c>
      <c r="T433" s="1"/>
      <c r="U433" s="1" t="s">
        <v>110</v>
      </c>
      <c r="V433" s="1" t="s">
        <v>694</v>
      </c>
      <c r="W433" s="1" t="s">
        <v>1619</v>
      </c>
      <c r="X433" s="1" t="s">
        <v>1616</v>
      </c>
      <c r="Y433" s="1" t="s">
        <v>879</v>
      </c>
      <c r="Z433" s="1" t="s">
        <v>43</v>
      </c>
      <c r="AA433" s="1"/>
      <c r="AB433" s="1" t="s">
        <v>114</v>
      </c>
      <c r="AC433" s="1" t="s">
        <v>115</v>
      </c>
      <c r="AD433" s="1" t="s">
        <v>43</v>
      </c>
      <c r="AE433" s="1" t="s">
        <v>43</v>
      </c>
      <c r="AF433" s="1"/>
      <c r="AG433" s="1" t="s">
        <v>43</v>
      </c>
      <c r="AH433" s="2">
        <v>46125</v>
      </c>
    </row>
    <row r="434" spans="1:34" x14ac:dyDescent="0.3">
      <c r="A434" s="1">
        <v>747101</v>
      </c>
      <c r="B434" s="1">
        <v>6.99</v>
      </c>
      <c r="C434" s="1">
        <v>399</v>
      </c>
      <c r="D434" s="1">
        <v>429</v>
      </c>
      <c r="E434" s="1" t="s">
        <v>43</v>
      </c>
      <c r="F434" s="1">
        <v>0</v>
      </c>
      <c r="G434" s="1" t="s">
        <v>1620</v>
      </c>
      <c r="H434" s="1" t="s">
        <v>1621</v>
      </c>
      <c r="I434" s="1" t="str">
        <f>HYPERLINK("https://www.systembolaget.se/produkt/vin/bonnet-747101/","https://www.systembolaget.se/produkt/vin/bonnet-747101/")</f>
        <v>https://www.systembolaget.se/produkt/vin/bonnet-747101/</v>
      </c>
      <c r="J434" s="1">
        <v>6.99</v>
      </c>
      <c r="K434" s="1">
        <v>6.99</v>
      </c>
      <c r="L434" s="2">
        <v>45440</v>
      </c>
      <c r="M434" s="1" t="s">
        <v>1622</v>
      </c>
      <c r="N434" s="1">
        <v>0.23</v>
      </c>
      <c r="O434" s="1">
        <v>750</v>
      </c>
      <c r="P434" s="1">
        <v>12.5</v>
      </c>
      <c r="Q434" s="1" t="s">
        <v>38</v>
      </c>
      <c r="R434" s="1" t="s">
        <v>61</v>
      </c>
      <c r="S434" s="1" t="s">
        <v>62</v>
      </c>
      <c r="T434" s="1"/>
      <c r="U434" s="1" t="s">
        <v>101</v>
      </c>
      <c r="V434" s="1" t="s">
        <v>346</v>
      </c>
      <c r="W434" s="1"/>
      <c r="X434" s="1" t="s">
        <v>1623</v>
      </c>
      <c r="Y434" s="1" t="s">
        <v>153</v>
      </c>
      <c r="Z434" s="1" t="s">
        <v>43</v>
      </c>
      <c r="AA434" s="1"/>
      <c r="AB434" s="1" t="s">
        <v>44</v>
      </c>
      <c r="AC434" s="1" t="s">
        <v>90</v>
      </c>
      <c r="AD434" s="1" t="s">
        <v>43</v>
      </c>
      <c r="AE434" s="1" t="s">
        <v>43</v>
      </c>
      <c r="AF434" s="1">
        <v>8</v>
      </c>
      <c r="AG434" s="1" t="s">
        <v>43</v>
      </c>
      <c r="AH434" s="2">
        <v>40087</v>
      </c>
    </row>
    <row r="435" spans="1:34" x14ac:dyDescent="0.3">
      <c r="A435" s="1">
        <v>211001</v>
      </c>
      <c r="B435" s="1">
        <v>6.98</v>
      </c>
      <c r="C435" s="1">
        <v>120</v>
      </c>
      <c r="D435" s="1">
        <v>129</v>
      </c>
      <c r="E435" s="1" t="s">
        <v>43</v>
      </c>
      <c r="F435" s="1">
        <v>0</v>
      </c>
      <c r="G435" s="1" t="s">
        <v>1624</v>
      </c>
      <c r="H435" s="1" t="s">
        <v>1625</v>
      </c>
      <c r="I435" s="1" t="str">
        <f>HYPERLINK("https://www.systembolaget.se/produkt/vin/motif-211001/","https://www.systembolaget.se/produkt/vin/motif-211001/")</f>
        <v>https://www.systembolaget.se/produkt/vin/motif-211001/</v>
      </c>
      <c r="J435" s="1">
        <v>6.98</v>
      </c>
      <c r="K435" s="1">
        <v>6.98</v>
      </c>
      <c r="L435" s="2">
        <v>45880</v>
      </c>
      <c r="M435" s="1" t="s">
        <v>1626</v>
      </c>
      <c r="N435" s="1">
        <v>0.91</v>
      </c>
      <c r="O435" s="1">
        <v>750</v>
      </c>
      <c r="P435" s="1">
        <v>14.5</v>
      </c>
      <c r="Q435" s="1" t="s">
        <v>38</v>
      </c>
      <c r="R435" s="1" t="s">
        <v>52</v>
      </c>
      <c r="S435" s="1" t="s">
        <v>84</v>
      </c>
      <c r="T435" s="1"/>
      <c r="U435" s="1" t="s">
        <v>73</v>
      </c>
      <c r="V435" s="1" t="s">
        <v>74</v>
      </c>
      <c r="W435" s="1" t="s">
        <v>1134</v>
      </c>
      <c r="X435" s="1" t="s">
        <v>1627</v>
      </c>
      <c r="Y435" s="1" t="s">
        <v>1500</v>
      </c>
      <c r="Z435" s="1" t="s">
        <v>43</v>
      </c>
      <c r="AA435" s="1">
        <v>2023</v>
      </c>
      <c r="AB435" s="1" t="s">
        <v>77</v>
      </c>
      <c r="AC435" s="1" t="s">
        <v>90</v>
      </c>
      <c r="AD435" s="1" t="s">
        <v>43</v>
      </c>
      <c r="AE435" s="1" t="s">
        <v>43</v>
      </c>
      <c r="AF435" s="1">
        <v>5</v>
      </c>
      <c r="AG435" s="1" t="s">
        <v>43</v>
      </c>
      <c r="AH435" s="2">
        <v>45901</v>
      </c>
    </row>
    <row r="436" spans="1:34" x14ac:dyDescent="0.3">
      <c r="A436" s="1">
        <v>3032115</v>
      </c>
      <c r="B436" s="1">
        <v>6.92</v>
      </c>
      <c r="C436" s="1">
        <v>26.9</v>
      </c>
      <c r="D436" s="1">
        <v>28.9</v>
      </c>
      <c r="E436" s="1" t="s">
        <v>43</v>
      </c>
      <c r="F436" s="1">
        <v>0</v>
      </c>
      <c r="G436" s="1" t="s">
        <v>875</v>
      </c>
      <c r="H436" s="1" t="s">
        <v>1628</v>
      </c>
      <c r="I436" s="1" t="str">
        <f>HYPERLINK("https://www.systembolaget.se/produkt/ol/perfectly-squared-brewing-3032115/","https://www.systembolaget.se/produkt/ol/perfectly-squared-brewing-3032115/")</f>
        <v>https://www.systembolaget.se/produkt/ol/perfectly-squared-brewing-3032115/</v>
      </c>
      <c r="J436" s="1">
        <v>3.58</v>
      </c>
      <c r="K436" s="1">
        <v>6.92</v>
      </c>
      <c r="L436" s="2">
        <v>45726</v>
      </c>
      <c r="M436" s="1" t="s">
        <v>1629</v>
      </c>
      <c r="N436" s="1">
        <v>0.65</v>
      </c>
      <c r="O436" s="1">
        <v>330</v>
      </c>
      <c r="P436" s="1">
        <v>5.3</v>
      </c>
      <c r="Q436" s="1" t="s">
        <v>107</v>
      </c>
      <c r="R436" s="1" t="s">
        <v>108</v>
      </c>
      <c r="S436" s="1" t="s">
        <v>1630</v>
      </c>
      <c r="T436" s="1"/>
      <c r="U436" s="1" t="s">
        <v>110</v>
      </c>
      <c r="V436" s="1" t="s">
        <v>694</v>
      </c>
      <c r="W436" s="1" t="s">
        <v>878</v>
      </c>
      <c r="X436" s="1" t="s">
        <v>875</v>
      </c>
      <c r="Y436" s="1" t="s">
        <v>879</v>
      </c>
      <c r="Z436" s="1" t="s">
        <v>43</v>
      </c>
      <c r="AA436" s="1"/>
      <c r="AB436" s="1" t="s">
        <v>114</v>
      </c>
      <c r="AC436" s="1" t="s">
        <v>115</v>
      </c>
      <c r="AD436" s="1" t="s">
        <v>43</v>
      </c>
      <c r="AE436" s="1" t="s">
        <v>43</v>
      </c>
      <c r="AF436" s="1"/>
      <c r="AG436" s="1" t="s">
        <v>43</v>
      </c>
      <c r="AH436" s="2">
        <v>46097</v>
      </c>
    </row>
    <row r="437" spans="1:34" x14ac:dyDescent="0.3">
      <c r="A437" s="1">
        <v>3000415</v>
      </c>
      <c r="B437" s="1">
        <v>6.91</v>
      </c>
      <c r="C437" s="1">
        <v>22.9</v>
      </c>
      <c r="D437" s="1">
        <v>24.6</v>
      </c>
      <c r="E437" s="1" t="s">
        <v>43</v>
      </c>
      <c r="F437" s="1">
        <v>0</v>
      </c>
      <c r="G437" s="1" t="s">
        <v>1631</v>
      </c>
      <c r="H437" s="1" t="s">
        <v>1632</v>
      </c>
      <c r="I437" s="1" t="str">
        <f>HYPERLINK("https://www.systembolaget.se/produkt/cider-blanddrycker/skny-btch-3000415/","https://www.systembolaget.se/produkt/cider-blanddrycker/skny-btch-3000415/")</f>
        <v>https://www.systembolaget.se/produkt/cider-blanddrycker/skny-btch-3000415/</v>
      </c>
      <c r="J437" s="1">
        <v>4.18</v>
      </c>
      <c r="K437" s="1">
        <v>6.91</v>
      </c>
      <c r="L437" s="2">
        <v>45943</v>
      </c>
      <c r="M437" s="1" t="s">
        <v>1633</v>
      </c>
      <c r="N437" s="1">
        <v>0.65</v>
      </c>
      <c r="O437" s="1">
        <v>330</v>
      </c>
      <c r="P437" s="1">
        <v>4.5</v>
      </c>
      <c r="Q437" s="1" t="s">
        <v>157</v>
      </c>
      <c r="R437" s="1" t="s">
        <v>663</v>
      </c>
      <c r="S437" s="1" t="s">
        <v>1634</v>
      </c>
      <c r="T437" s="1"/>
      <c r="U437" s="1" t="s">
        <v>110</v>
      </c>
      <c r="V437" s="1" t="s">
        <v>380</v>
      </c>
      <c r="W437" s="1" t="s">
        <v>1635</v>
      </c>
      <c r="X437" s="1" t="s">
        <v>1636</v>
      </c>
      <c r="Y437" s="1" t="s">
        <v>1637</v>
      </c>
      <c r="Z437" s="1" t="s">
        <v>43</v>
      </c>
      <c r="AA437" s="1"/>
      <c r="AB437" s="1" t="s">
        <v>114</v>
      </c>
      <c r="AC437" s="1" t="s">
        <v>115</v>
      </c>
      <c r="AD437" s="1" t="s">
        <v>43</v>
      </c>
      <c r="AE437" s="1" t="s">
        <v>43</v>
      </c>
      <c r="AF437" s="1">
        <v>5</v>
      </c>
      <c r="AG437" s="1" t="s">
        <v>43</v>
      </c>
      <c r="AH437" s="2">
        <v>45964</v>
      </c>
    </row>
    <row r="438" spans="1:34" x14ac:dyDescent="0.3">
      <c r="A438" s="1">
        <v>3093115</v>
      </c>
      <c r="B438" s="1">
        <v>6.91</v>
      </c>
      <c r="C438" s="1">
        <v>22.9</v>
      </c>
      <c r="D438" s="1">
        <v>24.6</v>
      </c>
      <c r="E438" s="1" t="s">
        <v>43</v>
      </c>
      <c r="F438" s="1">
        <v>0</v>
      </c>
      <c r="G438" s="1" t="s">
        <v>1631</v>
      </c>
      <c r="H438" s="1" t="s">
        <v>1638</v>
      </c>
      <c r="I438" s="1" t="str">
        <f>HYPERLINK("https://www.systembolaget.se/produkt/cider-blanddrycker/skny-btch-3093115/","https://www.systembolaget.se/produkt/cider-blanddrycker/skny-btch-3093115/")</f>
        <v>https://www.systembolaget.se/produkt/cider-blanddrycker/skny-btch-3093115/</v>
      </c>
      <c r="J438" s="1">
        <v>4.18</v>
      </c>
      <c r="K438" s="1">
        <v>6.91</v>
      </c>
      <c r="L438" s="2">
        <v>45943</v>
      </c>
      <c r="M438" s="1" t="s">
        <v>1633</v>
      </c>
      <c r="N438" s="1">
        <v>0.65</v>
      </c>
      <c r="O438" s="1">
        <v>330</v>
      </c>
      <c r="P438" s="1">
        <v>4.5</v>
      </c>
      <c r="Q438" s="1" t="s">
        <v>157</v>
      </c>
      <c r="R438" s="1" t="s">
        <v>663</v>
      </c>
      <c r="S438" s="1" t="s">
        <v>1634</v>
      </c>
      <c r="T438" s="1"/>
      <c r="U438" s="1" t="s">
        <v>110</v>
      </c>
      <c r="V438" s="1" t="s">
        <v>380</v>
      </c>
      <c r="W438" s="1" t="s">
        <v>1635</v>
      </c>
      <c r="X438" s="1" t="s">
        <v>1636</v>
      </c>
      <c r="Y438" s="1" t="s">
        <v>1637</v>
      </c>
      <c r="Z438" s="1" t="s">
        <v>43</v>
      </c>
      <c r="AA438" s="1"/>
      <c r="AB438" s="1" t="s">
        <v>114</v>
      </c>
      <c r="AC438" s="1" t="s">
        <v>115</v>
      </c>
      <c r="AD438" s="1" t="s">
        <v>43</v>
      </c>
      <c r="AE438" s="1" t="s">
        <v>43</v>
      </c>
      <c r="AF438" s="1">
        <v>4</v>
      </c>
      <c r="AG438" s="1" t="s">
        <v>43</v>
      </c>
      <c r="AH438" s="2">
        <v>45964</v>
      </c>
    </row>
    <row r="439" spans="1:34" x14ac:dyDescent="0.3">
      <c r="A439" s="1">
        <v>3376615</v>
      </c>
      <c r="B439" s="1">
        <v>6.91</v>
      </c>
      <c r="C439" s="1">
        <v>22.9</v>
      </c>
      <c r="D439" s="1">
        <v>24.6</v>
      </c>
      <c r="E439" s="1" t="s">
        <v>43</v>
      </c>
      <c r="F439" s="1">
        <v>0</v>
      </c>
      <c r="G439" s="1" t="s">
        <v>1631</v>
      </c>
      <c r="H439" s="1" t="s">
        <v>1639</v>
      </c>
      <c r="I439" s="1" t="str">
        <f>HYPERLINK("https://www.systembolaget.se/produkt/cider-blanddrycker/skny-btch-3376615/","https://www.systembolaget.se/produkt/cider-blanddrycker/skny-btch-3376615/")</f>
        <v>https://www.systembolaget.se/produkt/cider-blanddrycker/skny-btch-3376615/</v>
      </c>
      <c r="J439" s="1">
        <v>4.18</v>
      </c>
      <c r="K439" s="1">
        <v>6.91</v>
      </c>
      <c r="L439" s="2">
        <v>45824</v>
      </c>
      <c r="M439" s="1" t="s">
        <v>1633</v>
      </c>
      <c r="N439" s="1">
        <v>0.65</v>
      </c>
      <c r="O439" s="1">
        <v>330</v>
      </c>
      <c r="P439" s="1">
        <v>4.5</v>
      </c>
      <c r="Q439" s="1" t="s">
        <v>157</v>
      </c>
      <c r="R439" s="1" t="s">
        <v>663</v>
      </c>
      <c r="S439" s="1" t="s">
        <v>1634</v>
      </c>
      <c r="T439" s="1"/>
      <c r="U439" s="1" t="s">
        <v>110</v>
      </c>
      <c r="V439" s="1" t="s">
        <v>380</v>
      </c>
      <c r="W439" s="1" t="s">
        <v>1635</v>
      </c>
      <c r="X439" s="1" t="s">
        <v>1637</v>
      </c>
      <c r="Y439" s="1" t="s">
        <v>1637</v>
      </c>
      <c r="Z439" s="1" t="s">
        <v>43</v>
      </c>
      <c r="AA439" s="1"/>
      <c r="AB439" s="1" t="s">
        <v>114</v>
      </c>
      <c r="AC439" s="1" t="s">
        <v>115</v>
      </c>
      <c r="AD439" s="1" t="s">
        <v>43</v>
      </c>
      <c r="AE439" s="1" t="s">
        <v>43</v>
      </c>
      <c r="AF439" s="1"/>
      <c r="AG439" s="1" t="s">
        <v>43</v>
      </c>
      <c r="AH439" s="2">
        <v>45845</v>
      </c>
    </row>
    <row r="440" spans="1:34" x14ac:dyDescent="0.3">
      <c r="A440" s="1">
        <v>310508</v>
      </c>
      <c r="B440" s="1">
        <v>6.81</v>
      </c>
      <c r="C440" s="1">
        <v>219</v>
      </c>
      <c r="D440" s="1">
        <v>235</v>
      </c>
      <c r="E440" s="1" t="s">
        <v>43</v>
      </c>
      <c r="F440" s="1">
        <v>0</v>
      </c>
      <c r="G440" s="1" t="s">
        <v>492</v>
      </c>
      <c r="H440" s="1" t="s">
        <v>1640</v>
      </c>
      <c r="I440" s="1" t="str">
        <f>HYPERLINK("https://www.systembolaget.se/produkt/vin/chill-out-310508/","https://www.systembolaget.se/produkt/vin/chill-out-310508/")</f>
        <v>https://www.systembolaget.se/produkt/vin/chill-out-310508/</v>
      </c>
      <c r="J440" s="1">
        <v>6.81</v>
      </c>
      <c r="K440" s="1">
        <v>6.81</v>
      </c>
      <c r="L440" s="2">
        <v>45498</v>
      </c>
      <c r="M440" s="1" t="s">
        <v>1641</v>
      </c>
      <c r="N440" s="1">
        <v>1.71</v>
      </c>
      <c r="O440" s="1">
        <v>3000</v>
      </c>
      <c r="P440" s="1">
        <v>12.5</v>
      </c>
      <c r="Q440" s="1" t="s">
        <v>38</v>
      </c>
      <c r="R440" s="1" t="s">
        <v>80</v>
      </c>
      <c r="S440" s="1" t="s">
        <v>84</v>
      </c>
      <c r="T440" s="1"/>
      <c r="U440" s="1" t="s">
        <v>73</v>
      </c>
      <c r="V440" s="1" t="s">
        <v>74</v>
      </c>
      <c r="W440" s="1"/>
      <c r="X440" s="1" t="s">
        <v>495</v>
      </c>
      <c r="Y440" s="1" t="s">
        <v>496</v>
      </c>
      <c r="Z440" s="1" t="s">
        <v>43</v>
      </c>
      <c r="AA440" s="1">
        <v>2025</v>
      </c>
      <c r="AB440" s="1" t="s">
        <v>654</v>
      </c>
      <c r="AC440" s="1" t="s">
        <v>90</v>
      </c>
      <c r="AD440" s="1" t="s">
        <v>43</v>
      </c>
      <c r="AE440" s="1" t="s">
        <v>43</v>
      </c>
      <c r="AF440" s="1">
        <v>8</v>
      </c>
      <c r="AG440" s="1" t="s">
        <v>43</v>
      </c>
      <c r="AH440" s="2">
        <v>40007</v>
      </c>
    </row>
    <row r="441" spans="1:34" x14ac:dyDescent="0.3">
      <c r="A441" s="1">
        <v>5832702</v>
      </c>
      <c r="B441" s="1">
        <v>6.78</v>
      </c>
      <c r="C441" s="1">
        <v>330</v>
      </c>
      <c r="D441" s="1">
        <v>354</v>
      </c>
      <c r="E441" s="1" t="s">
        <v>43</v>
      </c>
      <c r="F441" s="1">
        <v>0</v>
      </c>
      <c r="G441" s="1" t="s">
        <v>1642</v>
      </c>
      <c r="H441" s="1" t="s">
        <v>1643</v>
      </c>
      <c r="I441" s="1" t="str">
        <f>HYPERLINK("https://www.systembolaget.se/produkt/sprit/moja-5832702/","https://www.systembolaget.se/produkt/sprit/moja-5832702/")</f>
        <v>https://www.systembolaget.se/produkt/sprit/moja-5832702/</v>
      </c>
      <c r="J441" s="1">
        <v>5.44</v>
      </c>
      <c r="K441" s="1">
        <v>6.78</v>
      </c>
      <c r="L441" s="2">
        <v>45444</v>
      </c>
      <c r="M441" s="1" t="s">
        <v>1644</v>
      </c>
      <c r="N441" s="1">
        <v>0.57999999999999996</v>
      </c>
      <c r="O441" s="1">
        <v>500</v>
      </c>
      <c r="P441" s="1">
        <v>38</v>
      </c>
      <c r="Q441" s="1" t="s">
        <v>308</v>
      </c>
      <c r="R441" s="1" t="s">
        <v>1645</v>
      </c>
      <c r="S441" s="1" t="s">
        <v>1646</v>
      </c>
      <c r="T441" s="1"/>
      <c r="U441" s="1" t="s">
        <v>110</v>
      </c>
      <c r="V441" s="1"/>
      <c r="W441" s="1"/>
      <c r="X441" s="1" t="s">
        <v>1647</v>
      </c>
      <c r="Y441" s="1" t="s">
        <v>1647</v>
      </c>
      <c r="Z441" s="1" t="s">
        <v>43</v>
      </c>
      <c r="AA441" s="1"/>
      <c r="AB441" s="1" t="s">
        <v>44</v>
      </c>
      <c r="AC441" s="1" t="s">
        <v>45</v>
      </c>
      <c r="AD441" s="1" t="s">
        <v>43</v>
      </c>
      <c r="AE441" s="1" t="s">
        <v>43</v>
      </c>
      <c r="AF441" s="1"/>
      <c r="AG441" s="1" t="s">
        <v>43</v>
      </c>
      <c r="AH441" s="2">
        <v>44837</v>
      </c>
    </row>
    <row r="442" spans="1:34" x14ac:dyDescent="0.3">
      <c r="A442" s="1">
        <v>5786301</v>
      </c>
      <c r="B442" s="1">
        <v>6.71</v>
      </c>
      <c r="C442" s="1">
        <v>139</v>
      </c>
      <c r="D442" s="1">
        <v>149</v>
      </c>
      <c r="E442" s="1" t="s">
        <v>43</v>
      </c>
      <c r="F442" s="1">
        <v>0</v>
      </c>
      <c r="G442" s="1" t="s">
        <v>1648</v>
      </c>
      <c r="H442" s="1"/>
      <c r="I442" s="1" t="str">
        <f>HYPERLINK("https://www.systembolaget.se/produkt/vin/fojetta-5786301/","https://www.systembolaget.se/produkt/vin/fojetta-5786301/")</f>
        <v>https://www.systembolaget.se/produkt/vin/fojetta-5786301/</v>
      </c>
      <c r="J442" s="1">
        <v>0</v>
      </c>
      <c r="K442" s="1">
        <v>6.71</v>
      </c>
      <c r="L442" s="2">
        <v>45389</v>
      </c>
      <c r="M442" s="1" t="s">
        <v>1649</v>
      </c>
      <c r="N442" s="1">
        <v>0.7</v>
      </c>
      <c r="O442" s="1">
        <v>750</v>
      </c>
      <c r="P442" s="1">
        <v>13</v>
      </c>
      <c r="Q442" s="1" t="s">
        <v>38</v>
      </c>
      <c r="R442" s="1" t="s">
        <v>39</v>
      </c>
      <c r="S442" s="1"/>
      <c r="T442" s="1"/>
      <c r="U442" s="1" t="s">
        <v>53</v>
      </c>
      <c r="V442" s="1"/>
      <c r="W442" s="1"/>
      <c r="X442" s="1" t="s">
        <v>1650</v>
      </c>
      <c r="Y442" s="1" t="s">
        <v>479</v>
      </c>
      <c r="Z442" s="1" t="s">
        <v>46</v>
      </c>
      <c r="AA442" s="1">
        <v>2022</v>
      </c>
      <c r="AB442" s="1" t="s">
        <v>77</v>
      </c>
      <c r="AC442" s="1" t="s">
        <v>45</v>
      </c>
      <c r="AD442" s="1" t="s">
        <v>43</v>
      </c>
      <c r="AE442" s="1" t="s">
        <v>43</v>
      </c>
      <c r="AF442" s="1"/>
      <c r="AG442" s="1" t="s">
        <v>43</v>
      </c>
      <c r="AH442" s="2">
        <v>44767</v>
      </c>
    </row>
    <row r="443" spans="1:34" x14ac:dyDescent="0.3">
      <c r="A443" s="1">
        <v>5329001</v>
      </c>
      <c r="B443" s="1">
        <v>6.71</v>
      </c>
      <c r="C443" s="1">
        <v>139</v>
      </c>
      <c r="D443" s="1">
        <v>149</v>
      </c>
      <c r="E443" s="1" t="s">
        <v>43</v>
      </c>
      <c r="F443" s="1">
        <v>0</v>
      </c>
      <c r="G443" s="1" t="s">
        <v>1651</v>
      </c>
      <c r="H443" s="1" t="s">
        <v>1652</v>
      </c>
      <c r="I443" s="1" t="str">
        <f>HYPERLINK("https://www.systembolaget.se/produkt/vin/luna-di-mezzanotte-5329001/","https://www.systembolaget.se/produkt/vin/luna-di-mezzanotte-5329001/")</f>
        <v>https://www.systembolaget.se/produkt/vin/luna-di-mezzanotte-5329001/</v>
      </c>
      <c r="J443" s="1">
        <v>6.71</v>
      </c>
      <c r="K443" s="1">
        <v>6.71</v>
      </c>
      <c r="L443" s="2">
        <v>45389</v>
      </c>
      <c r="M443" s="1" t="s">
        <v>1653</v>
      </c>
      <c r="N443" s="1">
        <v>0.76</v>
      </c>
      <c r="O443" s="1">
        <v>750</v>
      </c>
      <c r="P443" s="1">
        <v>14</v>
      </c>
      <c r="Q443" s="1" t="s">
        <v>38</v>
      </c>
      <c r="R443" s="1" t="s">
        <v>52</v>
      </c>
      <c r="S443" s="1" t="s">
        <v>386</v>
      </c>
      <c r="T443" s="1"/>
      <c r="U443" s="1" t="s">
        <v>53</v>
      </c>
      <c r="V443" s="1" t="s">
        <v>95</v>
      </c>
      <c r="W443" s="1" t="s">
        <v>937</v>
      </c>
      <c r="X443" s="1" t="s">
        <v>219</v>
      </c>
      <c r="Y443" s="1" t="s">
        <v>219</v>
      </c>
      <c r="Z443" s="1" t="s">
        <v>43</v>
      </c>
      <c r="AA443" s="1">
        <v>2021</v>
      </c>
      <c r="AB443" s="1" t="s">
        <v>44</v>
      </c>
      <c r="AC443" s="1" t="s">
        <v>90</v>
      </c>
      <c r="AD443" s="1" t="s">
        <v>43</v>
      </c>
      <c r="AE443" s="1" t="s">
        <v>43</v>
      </c>
      <c r="AF443" s="1">
        <v>5</v>
      </c>
      <c r="AG443" s="1" t="s">
        <v>43</v>
      </c>
      <c r="AH443" s="2">
        <v>44440</v>
      </c>
    </row>
    <row r="444" spans="1:34" x14ac:dyDescent="0.3">
      <c r="A444" s="1">
        <v>5583701</v>
      </c>
      <c r="B444" s="1">
        <v>6.71</v>
      </c>
      <c r="C444" s="1">
        <v>139</v>
      </c>
      <c r="D444" s="1">
        <v>149</v>
      </c>
      <c r="E444" s="1" t="s">
        <v>43</v>
      </c>
      <c r="F444" s="1">
        <v>0</v>
      </c>
      <c r="G444" s="1" t="s">
        <v>1654</v>
      </c>
      <c r="H444" s="1" t="s">
        <v>1655</v>
      </c>
      <c r="I444" s="1" t="str">
        <f>HYPERLINK("https://www.systembolaget.se/produkt/vin/prat-d-hores-5583701/","https://www.systembolaget.se/produkt/vin/prat-d-hores-5583701/")</f>
        <v>https://www.systembolaget.se/produkt/vin/prat-d-hores-5583701/</v>
      </c>
      <c r="J444" s="1">
        <v>22.35</v>
      </c>
      <c r="K444" s="1">
        <v>6.71</v>
      </c>
      <c r="L444" s="2">
        <v>45462</v>
      </c>
      <c r="M444" s="1" t="s">
        <v>1656</v>
      </c>
      <c r="N444" s="1">
        <v>0.7</v>
      </c>
      <c r="O444" s="1">
        <v>750</v>
      </c>
      <c r="P444" s="1">
        <v>13</v>
      </c>
      <c r="Q444" s="1" t="s">
        <v>38</v>
      </c>
      <c r="R444" s="1" t="s">
        <v>39</v>
      </c>
      <c r="S444" s="1"/>
      <c r="T444" s="1"/>
      <c r="U444" s="1" t="s">
        <v>164</v>
      </c>
      <c r="V444" s="1" t="s">
        <v>401</v>
      </c>
      <c r="W444" s="1" t="s">
        <v>1657</v>
      </c>
      <c r="X444" s="1" t="s">
        <v>1658</v>
      </c>
      <c r="Y444" s="1" t="s">
        <v>479</v>
      </c>
      <c r="Z444" s="1" t="s">
        <v>43</v>
      </c>
      <c r="AA444" s="1">
        <v>2019</v>
      </c>
      <c r="AB444" s="1" t="s">
        <v>44</v>
      </c>
      <c r="AC444" s="1" t="s">
        <v>45</v>
      </c>
      <c r="AD444" s="1" t="s">
        <v>43</v>
      </c>
      <c r="AE444" s="1" t="s">
        <v>43</v>
      </c>
      <c r="AF444" s="1"/>
      <c r="AG444" s="1" t="s">
        <v>43</v>
      </c>
      <c r="AH444" s="2">
        <v>44608</v>
      </c>
    </row>
    <row r="445" spans="1:34" x14ac:dyDescent="0.3">
      <c r="A445" s="1">
        <v>45902</v>
      </c>
      <c r="B445" s="1">
        <v>6.71</v>
      </c>
      <c r="C445" s="1">
        <v>139</v>
      </c>
      <c r="D445" s="1">
        <v>149</v>
      </c>
      <c r="E445" s="1" t="s">
        <v>43</v>
      </c>
      <c r="F445" s="1">
        <v>0</v>
      </c>
      <c r="G445" s="1" t="s">
        <v>1659</v>
      </c>
      <c r="H445" s="1"/>
      <c r="I445" s="1" t="str">
        <f>HYPERLINK("https://www.systembolaget.se/produkt/sprit/lauder-s-45902/","https://www.systembolaget.se/produkt/sprit/lauder-s-45902/")</f>
        <v>https://www.systembolaget.se/produkt/sprit/lauder-s-45902/</v>
      </c>
      <c r="J445" s="1">
        <v>6.71</v>
      </c>
      <c r="K445" s="1">
        <v>6.71</v>
      </c>
      <c r="L445" s="2">
        <v>45389</v>
      </c>
      <c r="M445" s="1" t="s">
        <v>1660</v>
      </c>
      <c r="N445" s="1">
        <v>1.01</v>
      </c>
      <c r="O445" s="1">
        <v>350</v>
      </c>
      <c r="P445" s="1">
        <v>40</v>
      </c>
      <c r="Q445" s="1" t="s">
        <v>308</v>
      </c>
      <c r="R445" s="1" t="s">
        <v>309</v>
      </c>
      <c r="S445" s="1" t="s">
        <v>1072</v>
      </c>
      <c r="T445" s="1"/>
      <c r="U445" s="1" t="s">
        <v>253</v>
      </c>
      <c r="V445" s="1" t="s">
        <v>254</v>
      </c>
      <c r="W445" s="1"/>
      <c r="X445" s="1" t="s">
        <v>1661</v>
      </c>
      <c r="Y445" s="1" t="s">
        <v>1307</v>
      </c>
      <c r="Z445" s="1" t="s">
        <v>43</v>
      </c>
      <c r="AA445" s="1"/>
      <c r="AB445" s="1" t="s">
        <v>44</v>
      </c>
      <c r="AC445" s="1" t="s">
        <v>90</v>
      </c>
      <c r="AD445" s="1" t="s">
        <v>43</v>
      </c>
      <c r="AE445" s="1" t="s">
        <v>43</v>
      </c>
      <c r="AF445" s="1">
        <v>2</v>
      </c>
      <c r="AG445" s="1" t="s">
        <v>43</v>
      </c>
      <c r="AH445" s="2">
        <v>34243</v>
      </c>
    </row>
    <row r="446" spans="1:34" x14ac:dyDescent="0.3">
      <c r="A446" s="1">
        <v>205601</v>
      </c>
      <c r="B446" s="1">
        <v>6.71</v>
      </c>
      <c r="C446" s="1">
        <v>139</v>
      </c>
      <c r="D446" s="1">
        <v>149</v>
      </c>
      <c r="E446" s="1" t="s">
        <v>43</v>
      </c>
      <c r="F446" s="1">
        <v>0</v>
      </c>
      <c r="G446" s="1" t="s">
        <v>1662</v>
      </c>
      <c r="H446" s="1" t="s">
        <v>1663</v>
      </c>
      <c r="I446" s="1" t="str">
        <f>HYPERLINK("https://www.systembolaget.se/produkt/vin/weingut-muller-205601/","https://www.systembolaget.se/produkt/vin/weingut-muller-205601/")</f>
        <v>https://www.systembolaget.se/produkt/vin/weingut-muller-205601/</v>
      </c>
      <c r="J446" s="1">
        <v>6.71</v>
      </c>
      <c r="K446" s="1">
        <v>6.71</v>
      </c>
      <c r="L446" s="2">
        <v>45880</v>
      </c>
      <c r="M446" s="1" t="s">
        <v>1664</v>
      </c>
      <c r="N446" s="1">
        <v>0.67</v>
      </c>
      <c r="O446" s="1">
        <v>750</v>
      </c>
      <c r="P446" s="1">
        <v>12.5</v>
      </c>
      <c r="Q446" s="1" t="s">
        <v>38</v>
      </c>
      <c r="R446" s="1" t="s">
        <v>39</v>
      </c>
      <c r="S446" s="1" t="s">
        <v>184</v>
      </c>
      <c r="T446" s="1"/>
      <c r="U446" s="1" t="s">
        <v>295</v>
      </c>
      <c r="V446" s="1" t="s">
        <v>296</v>
      </c>
      <c r="W446" s="1" t="s">
        <v>1665</v>
      </c>
      <c r="X446" s="1" t="s">
        <v>1662</v>
      </c>
      <c r="Y446" s="1" t="s">
        <v>590</v>
      </c>
      <c r="Z446" s="1" t="s">
        <v>43</v>
      </c>
      <c r="AA446" s="1">
        <v>2025</v>
      </c>
      <c r="AB446" s="1" t="s">
        <v>77</v>
      </c>
      <c r="AC446" s="1" t="s">
        <v>90</v>
      </c>
      <c r="AD446" s="1" t="s">
        <v>43</v>
      </c>
      <c r="AE446" s="1" t="s">
        <v>43</v>
      </c>
      <c r="AF446" s="1">
        <v>2</v>
      </c>
      <c r="AG446" s="1" t="s">
        <v>43</v>
      </c>
      <c r="AH446" s="2">
        <v>45901</v>
      </c>
    </row>
    <row r="447" spans="1:34" x14ac:dyDescent="0.3">
      <c r="A447" s="1">
        <v>5034501</v>
      </c>
      <c r="B447" s="1">
        <v>6.71</v>
      </c>
      <c r="C447" s="1">
        <v>139</v>
      </c>
      <c r="D447" s="1">
        <v>149</v>
      </c>
      <c r="E447" s="1" t="s">
        <v>43</v>
      </c>
      <c r="F447" s="1">
        <v>6</v>
      </c>
      <c r="G447" s="1" t="s">
        <v>1666</v>
      </c>
      <c r="H447" s="1"/>
      <c r="I447" s="1" t="str">
        <f>HYPERLINK("https://www.systembolaget.se/produkt/vin/white-artisan-5034501/","https://www.systembolaget.se/produkt/vin/white-artisan-5034501/")</f>
        <v>https://www.systembolaget.se/produkt/vin/white-artisan-5034501/</v>
      </c>
      <c r="J447" s="1">
        <v>0</v>
      </c>
      <c r="K447" s="1">
        <v>6.71</v>
      </c>
      <c r="L447" s="2">
        <v>45389</v>
      </c>
      <c r="M447" s="1" t="s">
        <v>1667</v>
      </c>
      <c r="N447" s="1">
        <v>0.67</v>
      </c>
      <c r="O447" s="1">
        <v>750</v>
      </c>
      <c r="P447" s="1">
        <v>12.5</v>
      </c>
      <c r="Q447" s="1" t="s">
        <v>38</v>
      </c>
      <c r="R447" s="1" t="s">
        <v>39</v>
      </c>
      <c r="S447" s="1"/>
      <c r="T447" s="1"/>
      <c r="U447" s="1" t="s">
        <v>1668</v>
      </c>
      <c r="V447" s="1" t="s">
        <v>1669</v>
      </c>
      <c r="W447" s="1" t="s">
        <v>1670</v>
      </c>
      <c r="X447" s="1" t="s">
        <v>1671</v>
      </c>
      <c r="Y447" s="1" t="s">
        <v>1672</v>
      </c>
      <c r="Z447" s="1" t="s">
        <v>43</v>
      </c>
      <c r="AA447" s="1">
        <v>2025</v>
      </c>
      <c r="AB447" s="1" t="s">
        <v>44</v>
      </c>
      <c r="AC447" s="1" t="s">
        <v>45</v>
      </c>
      <c r="AD447" s="1" t="s">
        <v>46</v>
      </c>
      <c r="AE447" s="1" t="s">
        <v>43</v>
      </c>
      <c r="AF447" s="1"/>
      <c r="AG447" s="1" t="s">
        <v>43</v>
      </c>
      <c r="AH447" s="2">
        <v>45028</v>
      </c>
    </row>
    <row r="448" spans="1:34" x14ac:dyDescent="0.3">
      <c r="A448" s="1">
        <v>5257801</v>
      </c>
      <c r="B448" s="1">
        <v>6.69</v>
      </c>
      <c r="C448" s="1">
        <v>279</v>
      </c>
      <c r="D448" s="1">
        <v>299</v>
      </c>
      <c r="E448" s="1" t="s">
        <v>43</v>
      </c>
      <c r="F448" s="1">
        <v>0</v>
      </c>
      <c r="G448" s="1" t="s">
        <v>1673</v>
      </c>
      <c r="H448" s="1" t="s">
        <v>1470</v>
      </c>
      <c r="I448" s="1" t="str">
        <f>HYPERLINK("https://www.systembolaget.se/produkt/vin/langhe-rosso-rossoluna-5257801/","https://www.systembolaget.se/produkt/vin/langhe-rosso-rossoluna-5257801/")</f>
        <v>https://www.systembolaget.se/produkt/vin/langhe-rosso-rossoluna-5257801/</v>
      </c>
      <c r="J448" s="1">
        <v>6.69</v>
      </c>
      <c r="K448" s="1">
        <v>6.69</v>
      </c>
      <c r="L448" s="2">
        <v>45401</v>
      </c>
      <c r="M448" s="1" t="s">
        <v>1674</v>
      </c>
      <c r="N448" s="1">
        <v>0.39</v>
      </c>
      <c r="O448" s="1">
        <v>750</v>
      </c>
      <c r="P448" s="1">
        <v>14.5</v>
      </c>
      <c r="Q448" s="1" t="s">
        <v>38</v>
      </c>
      <c r="R448" s="1" t="s">
        <v>52</v>
      </c>
      <c r="S448" s="1"/>
      <c r="T448" s="1"/>
      <c r="U448" s="1" t="s">
        <v>53</v>
      </c>
      <c r="V448" s="1" t="s">
        <v>95</v>
      </c>
      <c r="W448" s="1" t="s">
        <v>550</v>
      </c>
      <c r="X448" s="1" t="s">
        <v>1470</v>
      </c>
      <c r="Y448" s="1" t="s">
        <v>678</v>
      </c>
      <c r="Z448" s="1" t="s">
        <v>43</v>
      </c>
      <c r="AA448" s="1">
        <v>2021</v>
      </c>
      <c r="AB448" s="1" t="s">
        <v>44</v>
      </c>
      <c r="AC448" s="1" t="s">
        <v>45</v>
      </c>
      <c r="AD448" s="1" t="s">
        <v>43</v>
      </c>
      <c r="AE448" s="1" t="s">
        <v>43</v>
      </c>
      <c r="AF448" s="1"/>
      <c r="AG448" s="1" t="s">
        <v>43</v>
      </c>
      <c r="AH448" s="2">
        <v>44468</v>
      </c>
    </row>
    <row r="449" spans="1:34" x14ac:dyDescent="0.3">
      <c r="A449" s="1">
        <v>3113035</v>
      </c>
      <c r="B449" s="1">
        <v>6.69</v>
      </c>
      <c r="C449" s="1">
        <v>27.9</v>
      </c>
      <c r="D449" s="1">
        <v>29.9</v>
      </c>
      <c r="E449" s="1" t="s">
        <v>43</v>
      </c>
      <c r="F449" s="1">
        <v>0</v>
      </c>
      <c r="G449" s="1" t="s">
        <v>1675</v>
      </c>
      <c r="H449" s="1" t="s">
        <v>1676</v>
      </c>
      <c r="I449" s="1" t="str">
        <f>HYPERLINK("https://www.systembolaget.se/produkt/ol/are-bryggcompagni-3113035/","https://www.systembolaget.se/produkt/ol/are-bryggcompagni-3113035/")</f>
        <v>https://www.systembolaget.se/produkt/ol/are-bryggcompagni-3113035/</v>
      </c>
      <c r="J449" s="1"/>
      <c r="K449" s="1">
        <v>6.69</v>
      </c>
      <c r="L449" s="2">
        <v>46062</v>
      </c>
      <c r="M449" s="1" t="s">
        <v>1677</v>
      </c>
      <c r="N449" s="1">
        <v>0.54</v>
      </c>
      <c r="O449" s="1">
        <v>330</v>
      </c>
      <c r="P449" s="1">
        <v>4.5999999999999996</v>
      </c>
      <c r="Q449" s="1" t="s">
        <v>107</v>
      </c>
      <c r="R449" s="1" t="s">
        <v>108</v>
      </c>
      <c r="S449" s="1" t="s">
        <v>1478</v>
      </c>
      <c r="T449" s="1"/>
      <c r="U449" s="1" t="s">
        <v>110</v>
      </c>
      <c r="V449" s="1" t="s">
        <v>1678</v>
      </c>
      <c r="W449" s="1" t="s">
        <v>1679</v>
      </c>
      <c r="X449" s="1" t="s">
        <v>1675</v>
      </c>
      <c r="Y449" s="1" t="s">
        <v>1680</v>
      </c>
      <c r="Z449" s="1" t="s">
        <v>43</v>
      </c>
      <c r="AA449" s="1"/>
      <c r="AB449" s="1" t="s">
        <v>114</v>
      </c>
      <c r="AC449" s="1" t="s">
        <v>115</v>
      </c>
      <c r="AD449" s="1" t="s">
        <v>46</v>
      </c>
      <c r="AE449" s="1" t="s">
        <v>43</v>
      </c>
      <c r="AF449" s="1"/>
      <c r="AG449" s="1" t="s">
        <v>43</v>
      </c>
      <c r="AH449" s="2">
        <v>46083</v>
      </c>
    </row>
    <row r="450" spans="1:34" x14ac:dyDescent="0.3">
      <c r="A450" s="1">
        <v>3206335</v>
      </c>
      <c r="B450" s="1">
        <v>6.69</v>
      </c>
      <c r="C450" s="1">
        <v>27.9</v>
      </c>
      <c r="D450" s="1">
        <v>29.9</v>
      </c>
      <c r="E450" s="1" t="s">
        <v>43</v>
      </c>
      <c r="F450" s="1">
        <v>0</v>
      </c>
      <c r="G450" s="1" t="s">
        <v>1475</v>
      </c>
      <c r="H450" s="1" t="s">
        <v>1681</v>
      </c>
      <c r="I450" s="1" t="str">
        <f>HYPERLINK("https://www.systembolaget.se/produkt/ol/brewski-3206335/","https://www.systembolaget.se/produkt/ol/brewski-3206335/")</f>
        <v>https://www.systembolaget.se/produkt/ol/brewski-3206335/</v>
      </c>
      <c r="J450" s="1"/>
      <c r="K450" s="1">
        <v>6.69</v>
      </c>
      <c r="L450" s="2">
        <v>46125</v>
      </c>
      <c r="M450" s="1" t="s">
        <v>1677</v>
      </c>
      <c r="N450" s="1">
        <v>0.7</v>
      </c>
      <c r="O450" s="1">
        <v>330</v>
      </c>
      <c r="P450" s="1">
        <v>5.9</v>
      </c>
      <c r="Q450" s="1" t="s">
        <v>107</v>
      </c>
      <c r="R450" s="1" t="s">
        <v>108</v>
      </c>
      <c r="S450" s="1" t="s">
        <v>790</v>
      </c>
      <c r="T450" s="1"/>
      <c r="U450" s="1" t="s">
        <v>110</v>
      </c>
      <c r="V450" s="1" t="s">
        <v>694</v>
      </c>
      <c r="W450" s="1" t="s">
        <v>695</v>
      </c>
      <c r="X450" s="1" t="s">
        <v>1475</v>
      </c>
      <c r="Y450" s="1" t="s">
        <v>1479</v>
      </c>
      <c r="Z450" s="1" t="s">
        <v>43</v>
      </c>
      <c r="AA450" s="1"/>
      <c r="AB450" s="1" t="s">
        <v>114</v>
      </c>
      <c r="AC450" s="1" t="s">
        <v>115</v>
      </c>
      <c r="AD450" s="1" t="s">
        <v>43</v>
      </c>
      <c r="AE450" s="1" t="s">
        <v>43</v>
      </c>
      <c r="AF450" s="1"/>
      <c r="AG450" s="1" t="s">
        <v>43</v>
      </c>
      <c r="AH450" s="2">
        <v>46146</v>
      </c>
    </row>
    <row r="451" spans="1:34" x14ac:dyDescent="0.3">
      <c r="A451" s="1">
        <v>5669301</v>
      </c>
      <c r="B451" s="1">
        <v>6.69</v>
      </c>
      <c r="C451" s="1">
        <v>279</v>
      </c>
      <c r="D451" s="1">
        <v>299</v>
      </c>
      <c r="E451" s="1" t="s">
        <v>43</v>
      </c>
      <c r="F451" s="1">
        <v>0</v>
      </c>
      <c r="G451" s="1" t="s">
        <v>1682</v>
      </c>
      <c r="H451" s="1" t="s">
        <v>1683</v>
      </c>
      <c r="I451" s="1" t="str">
        <f>HYPERLINK("https://www.systembolaget.se/produkt/vin/villa-matilde-5669301/","https://www.systembolaget.se/produkt/vin/villa-matilde-5669301/")</f>
        <v>https://www.systembolaget.se/produkt/vin/villa-matilde-5669301/</v>
      </c>
      <c r="J451" s="1">
        <v>6.69</v>
      </c>
      <c r="K451" s="1">
        <v>6.69</v>
      </c>
      <c r="L451" s="2">
        <v>45444</v>
      </c>
      <c r="M451" s="1" t="s">
        <v>1684</v>
      </c>
      <c r="N451" s="1">
        <v>0.38</v>
      </c>
      <c r="O451" s="1">
        <v>750</v>
      </c>
      <c r="P451" s="1">
        <v>14</v>
      </c>
      <c r="Q451" s="1" t="s">
        <v>38</v>
      </c>
      <c r="R451" s="1" t="s">
        <v>52</v>
      </c>
      <c r="S451" s="1"/>
      <c r="T451" s="1"/>
      <c r="U451" s="1" t="s">
        <v>53</v>
      </c>
      <c r="V451" s="1" t="s">
        <v>1685</v>
      </c>
      <c r="W451" s="1" t="s">
        <v>1686</v>
      </c>
      <c r="X451" s="1" t="s">
        <v>1682</v>
      </c>
      <c r="Y451" s="1" t="s">
        <v>219</v>
      </c>
      <c r="Z451" s="1" t="s">
        <v>43</v>
      </c>
      <c r="AA451" s="1">
        <v>2016</v>
      </c>
      <c r="AB451" s="1" t="s">
        <v>44</v>
      </c>
      <c r="AC451" s="1" t="s">
        <v>45</v>
      </c>
      <c r="AD451" s="1" t="s">
        <v>43</v>
      </c>
      <c r="AE451" s="1" t="s">
        <v>43</v>
      </c>
      <c r="AF451" s="1"/>
      <c r="AG451" s="1" t="s">
        <v>43</v>
      </c>
      <c r="AH451" s="2">
        <v>44670</v>
      </c>
    </row>
    <row r="452" spans="1:34" x14ac:dyDescent="0.3">
      <c r="A452" s="1">
        <v>7438501</v>
      </c>
      <c r="B452" s="1">
        <v>6.69</v>
      </c>
      <c r="C452" s="1">
        <v>279</v>
      </c>
      <c r="D452" s="1">
        <v>299</v>
      </c>
      <c r="E452" s="1" t="s">
        <v>43</v>
      </c>
      <c r="F452" s="1">
        <v>0</v>
      </c>
      <c r="G452" s="1" t="s">
        <v>1687</v>
      </c>
      <c r="H452" s="1" t="s">
        <v>821</v>
      </c>
      <c r="I452" s="1" t="str">
        <f>HYPERLINK("https://www.systembolaget.se/produkt/vin/inedal-zinfandel-jacob-s-two-acres-7438501/","https://www.systembolaget.se/produkt/vin/inedal-zinfandel-jacob-s-two-acres-7438501/")</f>
        <v>https://www.systembolaget.se/produkt/vin/inedal-zinfandel-jacob-s-two-acres-7438501/</v>
      </c>
      <c r="J452" s="1">
        <v>15.2</v>
      </c>
      <c r="K452" s="1">
        <v>6.69</v>
      </c>
      <c r="L452" s="2">
        <v>45700</v>
      </c>
      <c r="M452" s="1" t="s">
        <v>1688</v>
      </c>
      <c r="N452" s="1">
        <v>0.4</v>
      </c>
      <c r="O452" s="1">
        <v>750</v>
      </c>
      <c r="P452" s="1">
        <v>15</v>
      </c>
      <c r="Q452" s="1" t="s">
        <v>38</v>
      </c>
      <c r="R452" s="1" t="s">
        <v>52</v>
      </c>
      <c r="S452" s="1"/>
      <c r="T452" s="1"/>
      <c r="U452" s="1" t="s">
        <v>73</v>
      </c>
      <c r="V452" s="1"/>
      <c r="W452" s="1"/>
      <c r="X452" s="1" t="s">
        <v>823</v>
      </c>
      <c r="Y452" s="1" t="s">
        <v>407</v>
      </c>
      <c r="Z452" s="1" t="s">
        <v>43</v>
      </c>
      <c r="AA452" s="1">
        <v>2023</v>
      </c>
      <c r="AB452" s="1" t="s">
        <v>44</v>
      </c>
      <c r="AC452" s="1" t="s">
        <v>45</v>
      </c>
      <c r="AD452" s="1" t="s">
        <v>43</v>
      </c>
      <c r="AE452" s="1" t="s">
        <v>43</v>
      </c>
      <c r="AF452" s="1"/>
      <c r="AG452" s="1" t="s">
        <v>43</v>
      </c>
      <c r="AH452" s="2">
        <v>45707</v>
      </c>
    </row>
    <row r="453" spans="1:34" x14ac:dyDescent="0.3">
      <c r="A453" s="1">
        <v>8242801</v>
      </c>
      <c r="B453" s="1">
        <v>6.69</v>
      </c>
      <c r="C453" s="1">
        <v>279</v>
      </c>
      <c r="D453" s="1">
        <v>299</v>
      </c>
      <c r="E453" s="1" t="s">
        <v>43</v>
      </c>
      <c r="F453" s="1">
        <v>0</v>
      </c>
      <c r="G453" s="1" t="s">
        <v>1689</v>
      </c>
      <c r="H453" s="1" t="s">
        <v>1690</v>
      </c>
      <c r="I453" s="1" t="str">
        <f>HYPERLINK("https://www.systembolaget.se/produkt/sprit/skagerrak-8242801/","https://www.systembolaget.se/produkt/sprit/skagerrak-8242801/")</f>
        <v>https://www.systembolaget.se/produkt/sprit/skagerrak-8242801/</v>
      </c>
      <c r="J453" s="1"/>
      <c r="K453" s="1">
        <v>6.69</v>
      </c>
      <c r="L453" s="2">
        <v>46077</v>
      </c>
      <c r="M453" s="1" t="s">
        <v>1684</v>
      </c>
      <c r="N453" s="1">
        <v>1.03</v>
      </c>
      <c r="O453" s="1">
        <v>700</v>
      </c>
      <c r="P453" s="1">
        <v>41.2</v>
      </c>
      <c r="Q453" s="1" t="s">
        <v>308</v>
      </c>
      <c r="R453" s="1" t="s">
        <v>487</v>
      </c>
      <c r="S453" s="1" t="s">
        <v>488</v>
      </c>
      <c r="T453" s="1"/>
      <c r="U453" s="1" t="s">
        <v>1691</v>
      </c>
      <c r="V453" s="1"/>
      <c r="W453" s="1"/>
      <c r="X453" s="1" t="s">
        <v>1692</v>
      </c>
      <c r="Y453" s="1" t="s">
        <v>1559</v>
      </c>
      <c r="Z453" s="1" t="s">
        <v>43</v>
      </c>
      <c r="AA453" s="1"/>
      <c r="AB453" s="1" t="s">
        <v>44</v>
      </c>
      <c r="AC453" s="1" t="s">
        <v>45</v>
      </c>
      <c r="AD453" s="1" t="s">
        <v>43</v>
      </c>
      <c r="AE453" s="1" t="s">
        <v>43</v>
      </c>
      <c r="AF453" s="1">
        <v>2</v>
      </c>
      <c r="AG453" s="1" t="s">
        <v>43</v>
      </c>
      <c r="AH453" s="2">
        <v>46078</v>
      </c>
    </row>
    <row r="454" spans="1:34" x14ac:dyDescent="0.3">
      <c r="A454" s="1">
        <v>9262001</v>
      </c>
      <c r="B454" s="1">
        <v>6.68</v>
      </c>
      <c r="C454" s="1">
        <v>699</v>
      </c>
      <c r="D454" s="1">
        <v>749</v>
      </c>
      <c r="E454" s="1" t="s">
        <v>43</v>
      </c>
      <c r="F454" s="1">
        <v>0</v>
      </c>
      <c r="G454" s="1" t="s">
        <v>1693</v>
      </c>
      <c r="H454" s="1" t="s">
        <v>1470</v>
      </c>
      <c r="I454" s="1" t="str">
        <f>HYPERLINK("https://www.systembolaget.se/produkt/vin/barolo-san-lorenzo-9262001/","https://www.systembolaget.se/produkt/vin/barolo-san-lorenzo-9262001/")</f>
        <v>https://www.systembolaget.se/produkt/vin/barolo-san-lorenzo-9262001/</v>
      </c>
      <c r="J454" s="1">
        <v>4.12</v>
      </c>
      <c r="K454" s="1">
        <v>6.68</v>
      </c>
      <c r="L454" s="2">
        <v>45575</v>
      </c>
      <c r="M454" s="1" t="s">
        <v>1694</v>
      </c>
      <c r="N454" s="1">
        <v>0.16</v>
      </c>
      <c r="O454" s="1">
        <v>750</v>
      </c>
      <c r="P454" s="1">
        <v>14.5</v>
      </c>
      <c r="Q454" s="1" t="s">
        <v>38</v>
      </c>
      <c r="R454" s="1" t="s">
        <v>52</v>
      </c>
      <c r="S454" s="1"/>
      <c r="T454" s="1"/>
      <c r="U454" s="1" t="s">
        <v>53</v>
      </c>
      <c r="V454" s="1" t="s">
        <v>95</v>
      </c>
      <c r="W454" s="1" t="s">
        <v>969</v>
      </c>
      <c r="X454" s="1" t="s">
        <v>1470</v>
      </c>
      <c r="Y454" s="1" t="s">
        <v>678</v>
      </c>
      <c r="Z454" s="1" t="s">
        <v>43</v>
      </c>
      <c r="AA454" s="1">
        <v>2020</v>
      </c>
      <c r="AB454" s="1" t="s">
        <v>44</v>
      </c>
      <c r="AC454" s="1" t="s">
        <v>45</v>
      </c>
      <c r="AD454" s="1" t="s">
        <v>43</v>
      </c>
      <c r="AE454" s="1" t="s">
        <v>43</v>
      </c>
      <c r="AF454" s="1"/>
      <c r="AG454" s="1" t="s">
        <v>43</v>
      </c>
      <c r="AH454" s="2">
        <v>45596</v>
      </c>
    </row>
    <row r="455" spans="1:34" x14ac:dyDescent="0.3">
      <c r="A455" s="1">
        <v>5131106</v>
      </c>
      <c r="B455" s="1">
        <v>6.67</v>
      </c>
      <c r="C455" s="1">
        <v>1400</v>
      </c>
      <c r="D455" s="1">
        <v>1500</v>
      </c>
      <c r="E455" s="1" t="s">
        <v>43</v>
      </c>
      <c r="F455" s="1">
        <v>6</v>
      </c>
      <c r="G455" s="1" t="s">
        <v>1695</v>
      </c>
      <c r="H455" s="1"/>
      <c r="I455" s="1" t="str">
        <f>HYPERLINK("https://www.systembolaget.se/produkt/vin/l-hospitalet-de-gazin-5131106/","https://www.systembolaget.se/produkt/vin/l-hospitalet-de-gazin-5131106/")</f>
        <v>https://www.systembolaget.se/produkt/vin/l-hospitalet-de-gazin-5131106/</v>
      </c>
      <c r="J455" s="1">
        <v>25.21</v>
      </c>
      <c r="K455" s="1">
        <v>6.67</v>
      </c>
      <c r="L455" s="2">
        <v>45509</v>
      </c>
      <c r="M455" s="1" t="s">
        <v>1696</v>
      </c>
      <c r="N455" s="1">
        <v>0.14000000000000001</v>
      </c>
      <c r="O455" s="1">
        <v>1500</v>
      </c>
      <c r="P455" s="1">
        <v>13.5</v>
      </c>
      <c r="Q455" s="1" t="s">
        <v>38</v>
      </c>
      <c r="R455" s="1" t="s">
        <v>52</v>
      </c>
      <c r="S455" s="1"/>
      <c r="T455" s="1"/>
      <c r="U455" s="1" t="s">
        <v>101</v>
      </c>
      <c r="V455" s="1" t="s">
        <v>371</v>
      </c>
      <c r="W455" s="1" t="s">
        <v>372</v>
      </c>
      <c r="X455" s="1" t="s">
        <v>1697</v>
      </c>
      <c r="Y455" s="1" t="s">
        <v>374</v>
      </c>
      <c r="Z455" s="1" t="s">
        <v>43</v>
      </c>
      <c r="AA455" s="1">
        <v>2017</v>
      </c>
      <c r="AB455" s="1" t="s">
        <v>375</v>
      </c>
      <c r="AC455" s="1" t="s">
        <v>45</v>
      </c>
      <c r="AD455" s="1" t="s">
        <v>43</v>
      </c>
      <c r="AE455" s="1" t="s">
        <v>43</v>
      </c>
      <c r="AF455" s="1"/>
      <c r="AG455" s="1" t="s">
        <v>43</v>
      </c>
      <c r="AH455" s="2">
        <v>44279</v>
      </c>
    </row>
    <row r="456" spans="1:34" x14ac:dyDescent="0.3">
      <c r="A456" s="1">
        <v>3227635</v>
      </c>
      <c r="B456" s="1">
        <v>6.46</v>
      </c>
      <c r="C456" s="1">
        <v>44.9</v>
      </c>
      <c r="D456" s="1">
        <v>48</v>
      </c>
      <c r="E456" s="1" t="s">
        <v>43</v>
      </c>
      <c r="F456" s="1">
        <v>0</v>
      </c>
      <c r="G456" s="1" t="s">
        <v>709</v>
      </c>
      <c r="H456" s="1" t="s">
        <v>1698</v>
      </c>
      <c r="I456" s="1" t="str">
        <f>HYPERLINK("https://www.systembolaget.se/produkt/ol/dugges-3227635/","https://www.systembolaget.se/produkt/ol/dugges-3227635/")</f>
        <v>https://www.systembolaget.se/produkt/ol/dugges-3227635/</v>
      </c>
      <c r="J456" s="1"/>
      <c r="K456" s="1">
        <v>6.46</v>
      </c>
      <c r="L456" s="2">
        <v>46034</v>
      </c>
      <c r="M456" s="1" t="s">
        <v>1699</v>
      </c>
      <c r="N456" s="1">
        <v>0.85</v>
      </c>
      <c r="O456" s="1">
        <v>330</v>
      </c>
      <c r="P456" s="1">
        <v>11.5</v>
      </c>
      <c r="Q456" s="1" t="s">
        <v>107</v>
      </c>
      <c r="R456" s="1" t="s">
        <v>712</v>
      </c>
      <c r="S456" s="1" t="s">
        <v>713</v>
      </c>
      <c r="T456" s="1"/>
      <c r="U456" s="1" t="s">
        <v>110</v>
      </c>
      <c r="V456" s="1" t="s">
        <v>136</v>
      </c>
      <c r="W456" s="1" t="s">
        <v>1700</v>
      </c>
      <c r="X456" s="1" t="s">
        <v>714</v>
      </c>
      <c r="Y456" s="1" t="s">
        <v>715</v>
      </c>
      <c r="Z456" s="1" t="s">
        <v>43</v>
      </c>
      <c r="AA456" s="1"/>
      <c r="AB456" s="1" t="s">
        <v>114</v>
      </c>
      <c r="AC456" s="1" t="s">
        <v>115</v>
      </c>
      <c r="AD456" s="1" t="s">
        <v>43</v>
      </c>
      <c r="AE456" s="1" t="s">
        <v>43</v>
      </c>
      <c r="AF456" s="1"/>
      <c r="AG456" s="1" t="s">
        <v>43</v>
      </c>
      <c r="AH456" s="2">
        <v>46055</v>
      </c>
    </row>
    <row r="457" spans="1:34" x14ac:dyDescent="0.3">
      <c r="A457" s="1">
        <v>8401002</v>
      </c>
      <c r="B457" s="1">
        <v>6.46</v>
      </c>
      <c r="C457" s="1">
        <v>449</v>
      </c>
      <c r="D457" s="1">
        <v>480</v>
      </c>
      <c r="E457" s="1" t="s">
        <v>43</v>
      </c>
      <c r="F457" s="1">
        <v>0</v>
      </c>
      <c r="G457" s="1" t="s">
        <v>1701</v>
      </c>
      <c r="H457" s="1" t="s">
        <v>1702</v>
      </c>
      <c r="I457" s="1" t="str">
        <f>HYPERLINK("https://www.systembolaget.se/produkt/sprit/borkbo-knappen-8401002/","https://www.systembolaget.se/produkt/sprit/borkbo-knappen-8401002/")</f>
        <v>https://www.systembolaget.se/produkt/sprit/borkbo-knappen-8401002/</v>
      </c>
      <c r="J457" s="1">
        <v>6.26</v>
      </c>
      <c r="K457" s="1">
        <v>6.46</v>
      </c>
      <c r="L457" s="2">
        <v>45560</v>
      </c>
      <c r="M457" s="1" t="s">
        <v>1703</v>
      </c>
      <c r="N457" s="1">
        <v>0.45</v>
      </c>
      <c r="O457" s="1">
        <v>500</v>
      </c>
      <c r="P457" s="1">
        <v>40</v>
      </c>
      <c r="Q457" s="1" t="s">
        <v>308</v>
      </c>
      <c r="R457" s="1" t="s">
        <v>1645</v>
      </c>
      <c r="S457" s="1" t="s">
        <v>1702</v>
      </c>
      <c r="T457" s="1"/>
      <c r="U457" s="1" t="s">
        <v>110</v>
      </c>
      <c r="V457" s="1"/>
      <c r="W457" s="1"/>
      <c r="X457" s="1" t="s">
        <v>1704</v>
      </c>
      <c r="Y457" s="1" t="s">
        <v>1523</v>
      </c>
      <c r="Z457" s="1" t="s">
        <v>43</v>
      </c>
      <c r="AA457" s="1"/>
      <c r="AB457" s="1" t="s">
        <v>44</v>
      </c>
      <c r="AC457" s="1" t="s">
        <v>45</v>
      </c>
      <c r="AD457" s="1" t="s">
        <v>43</v>
      </c>
      <c r="AE457" s="1" t="s">
        <v>43</v>
      </c>
      <c r="AF457" s="1"/>
      <c r="AG457" s="1" t="s">
        <v>43</v>
      </c>
      <c r="AH457" s="2">
        <v>45559</v>
      </c>
    </row>
    <row r="458" spans="1:34" x14ac:dyDescent="0.3">
      <c r="A458" s="1">
        <v>2265304</v>
      </c>
      <c r="B458" s="1">
        <v>6.45</v>
      </c>
      <c r="C458" s="1">
        <v>29</v>
      </c>
      <c r="D458" s="1">
        <v>31</v>
      </c>
      <c r="E458" s="1" t="s">
        <v>43</v>
      </c>
      <c r="F458" s="1">
        <v>0</v>
      </c>
      <c r="G458" s="1" t="s">
        <v>1705</v>
      </c>
      <c r="H458" s="1" t="s">
        <v>1706</v>
      </c>
      <c r="I458" s="1" t="str">
        <f>HYPERLINK("https://www.systembolaget.se/produkt/vin/terra-dell-oro-2265304/","https://www.systembolaget.se/produkt/vin/terra-dell-oro-2265304/")</f>
        <v>https://www.systembolaget.se/produkt/vin/terra-dell-oro-2265304/</v>
      </c>
      <c r="J458" s="1">
        <v>3.33</v>
      </c>
      <c r="K458" s="1">
        <v>6.45</v>
      </c>
      <c r="L458" s="2">
        <v>45706</v>
      </c>
      <c r="M458" s="1" t="s">
        <v>1707</v>
      </c>
      <c r="N458" s="1">
        <v>1.08</v>
      </c>
      <c r="O458" s="1">
        <v>250</v>
      </c>
      <c r="P458" s="1">
        <v>12.5</v>
      </c>
      <c r="Q458" s="1" t="s">
        <v>38</v>
      </c>
      <c r="R458" s="1" t="s">
        <v>52</v>
      </c>
      <c r="S458" s="1" t="s">
        <v>72</v>
      </c>
      <c r="T458" s="1"/>
      <c r="U458" s="1" t="s">
        <v>53</v>
      </c>
      <c r="V458" s="1"/>
      <c r="W458" s="1"/>
      <c r="X458" s="1" t="s">
        <v>1708</v>
      </c>
      <c r="Y458" s="1" t="s">
        <v>564</v>
      </c>
      <c r="Z458" s="1" t="s">
        <v>43</v>
      </c>
      <c r="AA458" s="1"/>
      <c r="AB458" s="1" t="s">
        <v>1709</v>
      </c>
      <c r="AC458" s="1" t="s">
        <v>90</v>
      </c>
      <c r="AD458" s="1" t="s">
        <v>43</v>
      </c>
      <c r="AE458" s="1" t="s">
        <v>43</v>
      </c>
      <c r="AF458" s="1">
        <v>6</v>
      </c>
      <c r="AG458" s="1" t="s">
        <v>43</v>
      </c>
      <c r="AH458" s="2">
        <v>39898</v>
      </c>
    </row>
    <row r="459" spans="1:34" x14ac:dyDescent="0.3">
      <c r="A459" s="1">
        <v>2265404</v>
      </c>
      <c r="B459" s="1">
        <v>6.45</v>
      </c>
      <c r="C459" s="1">
        <v>29</v>
      </c>
      <c r="D459" s="1">
        <v>31</v>
      </c>
      <c r="E459" s="1" t="s">
        <v>43</v>
      </c>
      <c r="F459" s="1">
        <v>0</v>
      </c>
      <c r="G459" s="1" t="s">
        <v>1710</v>
      </c>
      <c r="H459" s="1" t="s">
        <v>1711</v>
      </c>
      <c r="I459" s="1" t="str">
        <f>HYPERLINK("https://www.systembolaget.se/produkt/vin/terra-dell-oro-2265404/","https://www.systembolaget.se/produkt/vin/terra-dell-oro-2265404/")</f>
        <v>https://www.systembolaget.se/produkt/vin/terra-dell-oro-2265404/</v>
      </c>
      <c r="J459" s="1">
        <v>3.33</v>
      </c>
      <c r="K459" s="1">
        <v>6.45</v>
      </c>
      <c r="L459" s="2">
        <v>45706</v>
      </c>
      <c r="M459" s="1" t="s">
        <v>1707</v>
      </c>
      <c r="N459" s="1">
        <v>1.03</v>
      </c>
      <c r="O459" s="1">
        <v>250</v>
      </c>
      <c r="P459" s="1">
        <v>12</v>
      </c>
      <c r="Q459" s="1" t="s">
        <v>38</v>
      </c>
      <c r="R459" s="1" t="s">
        <v>39</v>
      </c>
      <c r="S459" s="1" t="s">
        <v>1712</v>
      </c>
      <c r="T459" s="1"/>
      <c r="U459" s="1" t="s">
        <v>53</v>
      </c>
      <c r="V459" s="1"/>
      <c r="W459" s="1"/>
      <c r="X459" s="1" t="s">
        <v>1708</v>
      </c>
      <c r="Y459" s="1" t="s">
        <v>564</v>
      </c>
      <c r="Z459" s="1" t="s">
        <v>43</v>
      </c>
      <c r="AA459" s="1"/>
      <c r="AB459" s="1" t="s">
        <v>1709</v>
      </c>
      <c r="AC459" s="1" t="s">
        <v>90</v>
      </c>
      <c r="AD459" s="1" t="s">
        <v>43</v>
      </c>
      <c r="AE459" s="1" t="s">
        <v>43</v>
      </c>
      <c r="AF459" s="1">
        <v>4</v>
      </c>
      <c r="AG459" s="1" t="s">
        <v>43</v>
      </c>
      <c r="AH459" s="2">
        <v>39877</v>
      </c>
    </row>
    <row r="460" spans="1:34" x14ac:dyDescent="0.3">
      <c r="A460" s="1">
        <v>7527101</v>
      </c>
      <c r="B460" s="1">
        <v>6.41</v>
      </c>
      <c r="C460" s="1">
        <v>3649</v>
      </c>
      <c r="D460" s="1">
        <v>3899</v>
      </c>
      <c r="E460" s="1" t="s">
        <v>43</v>
      </c>
      <c r="F460" s="1">
        <v>0</v>
      </c>
      <c r="G460" s="1" t="s">
        <v>1275</v>
      </c>
      <c r="H460" s="1" t="s">
        <v>1176</v>
      </c>
      <c r="I460" s="1" t="str">
        <f>HYPERLINK("https://www.systembolaget.se/produkt/vin/chapelle-chambertin-grand-cru-7527101/","https://www.systembolaget.se/produkt/vin/chapelle-chambertin-grand-cru-7527101/")</f>
        <v>https://www.systembolaget.se/produkt/vin/chapelle-chambertin-grand-cru-7527101/</v>
      </c>
      <c r="J460" s="1">
        <v>6.41</v>
      </c>
      <c r="K460" s="1">
        <v>6.41</v>
      </c>
      <c r="L460" s="2">
        <v>45588</v>
      </c>
      <c r="M460" s="1" t="s">
        <v>1713</v>
      </c>
      <c r="N460" s="1">
        <v>0.03</v>
      </c>
      <c r="O460" s="1">
        <v>750</v>
      </c>
      <c r="P460" s="1">
        <v>14</v>
      </c>
      <c r="Q460" s="1" t="s">
        <v>38</v>
      </c>
      <c r="R460" s="1" t="s">
        <v>52</v>
      </c>
      <c r="S460" s="1"/>
      <c r="T460" s="1"/>
      <c r="U460" s="1" t="s">
        <v>101</v>
      </c>
      <c r="V460" s="1" t="s">
        <v>142</v>
      </c>
      <c r="W460" s="1" t="s">
        <v>725</v>
      </c>
      <c r="X460" s="1" t="s">
        <v>1176</v>
      </c>
      <c r="Y460" s="1" t="s">
        <v>678</v>
      </c>
      <c r="Z460" s="1" t="s">
        <v>43</v>
      </c>
      <c r="AA460" s="1">
        <v>2020</v>
      </c>
      <c r="AB460" s="1" t="s">
        <v>44</v>
      </c>
      <c r="AC460" s="1" t="s">
        <v>45</v>
      </c>
      <c r="AD460" s="1" t="s">
        <v>43</v>
      </c>
      <c r="AE460" s="1" t="s">
        <v>43</v>
      </c>
      <c r="AF460" s="1"/>
      <c r="AG460" s="1" t="s">
        <v>43</v>
      </c>
      <c r="AH460" s="2">
        <v>45595</v>
      </c>
    </row>
    <row r="461" spans="1:34" x14ac:dyDescent="0.3">
      <c r="A461" s="1">
        <v>3041515</v>
      </c>
      <c r="B461" s="1">
        <v>6.35</v>
      </c>
      <c r="C461" s="1">
        <v>28</v>
      </c>
      <c r="D461" s="1">
        <v>29.9</v>
      </c>
      <c r="E461" s="1" t="s">
        <v>43</v>
      </c>
      <c r="F461" s="1">
        <v>0</v>
      </c>
      <c r="G461" s="1" t="s">
        <v>625</v>
      </c>
      <c r="H461" s="1" t="s">
        <v>1714</v>
      </c>
      <c r="I461" s="1" t="str">
        <f>HYPERLINK("https://www.systembolaget.se/produkt/ol/bearded-rabbit-brewery-3041515/","https://www.systembolaget.se/produkt/ol/bearded-rabbit-brewery-3041515/")</f>
        <v>https://www.systembolaget.se/produkt/ol/bearded-rabbit-brewery-3041515/</v>
      </c>
      <c r="J461" s="1">
        <v>6.35</v>
      </c>
      <c r="K461" s="1">
        <v>6.35</v>
      </c>
      <c r="L461" s="2">
        <v>45796</v>
      </c>
      <c r="M461" s="1" t="s">
        <v>1715</v>
      </c>
      <c r="N461" s="1">
        <v>0.53</v>
      </c>
      <c r="O461" s="1">
        <v>330</v>
      </c>
      <c r="P461" s="1">
        <v>4.5</v>
      </c>
      <c r="Q461" s="1" t="s">
        <v>107</v>
      </c>
      <c r="R461" s="1" t="s">
        <v>108</v>
      </c>
      <c r="S461" s="1" t="s">
        <v>1716</v>
      </c>
      <c r="T461" s="1"/>
      <c r="U461" s="1" t="s">
        <v>110</v>
      </c>
      <c r="V461" s="1" t="s">
        <v>136</v>
      </c>
      <c r="W461" s="1" t="s">
        <v>137</v>
      </c>
      <c r="X461" s="1" t="s">
        <v>625</v>
      </c>
      <c r="Y461" s="1" t="s">
        <v>628</v>
      </c>
      <c r="Z461" s="1" t="s">
        <v>43</v>
      </c>
      <c r="AA461" s="1"/>
      <c r="AB461" s="1" t="s">
        <v>114</v>
      </c>
      <c r="AC461" s="1" t="s">
        <v>115</v>
      </c>
      <c r="AD461" s="1" t="s">
        <v>43</v>
      </c>
      <c r="AE461" s="1" t="s">
        <v>43</v>
      </c>
      <c r="AF461" s="1"/>
      <c r="AG461" s="1" t="s">
        <v>43</v>
      </c>
      <c r="AH461" s="2">
        <v>45817</v>
      </c>
    </row>
    <row r="462" spans="1:34" x14ac:dyDescent="0.3">
      <c r="A462" s="1">
        <v>7666901</v>
      </c>
      <c r="B462" s="1">
        <v>6.34</v>
      </c>
      <c r="C462" s="1">
        <v>399</v>
      </c>
      <c r="D462" s="1">
        <v>426</v>
      </c>
      <c r="E462" s="1" t="s">
        <v>43</v>
      </c>
      <c r="F462" s="1">
        <v>0</v>
      </c>
      <c r="G462" s="1" t="s">
        <v>1717</v>
      </c>
      <c r="H462" s="1" t="s">
        <v>1718</v>
      </c>
      <c r="I462" s="1" t="str">
        <f>HYPERLINK("https://www.systembolaget.se/produkt/vin/solveigs-7666901/","https://www.systembolaget.se/produkt/vin/solveigs-7666901/")</f>
        <v>https://www.systembolaget.se/produkt/vin/solveigs-7666901/</v>
      </c>
      <c r="J462" s="1"/>
      <c r="K462" s="1">
        <v>6.34</v>
      </c>
      <c r="L462" s="2">
        <v>46148</v>
      </c>
      <c r="M462" s="1" t="s">
        <v>1719</v>
      </c>
      <c r="N462" s="1">
        <v>0.25</v>
      </c>
      <c r="O462" s="1">
        <v>750</v>
      </c>
      <c r="P462" s="1">
        <v>13.5</v>
      </c>
      <c r="Q462" s="1" t="s">
        <v>38</v>
      </c>
      <c r="R462" s="1" t="s">
        <v>52</v>
      </c>
      <c r="S462" s="1"/>
      <c r="T462" s="1"/>
      <c r="U462" s="1" t="s">
        <v>119</v>
      </c>
      <c r="V462" s="1" t="s">
        <v>1099</v>
      </c>
      <c r="W462" s="1"/>
      <c r="X462" s="1" t="s">
        <v>1717</v>
      </c>
      <c r="Y462" s="1" t="s">
        <v>905</v>
      </c>
      <c r="Z462" s="1" t="s">
        <v>46</v>
      </c>
      <c r="AA462" s="1">
        <v>2021</v>
      </c>
      <c r="AB462" s="1" t="s">
        <v>44</v>
      </c>
      <c r="AC462" s="1" t="s">
        <v>45</v>
      </c>
      <c r="AD462" s="1" t="s">
        <v>43</v>
      </c>
      <c r="AE462" s="1" t="s">
        <v>43</v>
      </c>
      <c r="AF462" s="1"/>
      <c r="AG462" s="1" t="s">
        <v>43</v>
      </c>
      <c r="AH462" s="2">
        <v>45978</v>
      </c>
    </row>
    <row r="463" spans="1:34" x14ac:dyDescent="0.3">
      <c r="A463" s="1">
        <v>7169601</v>
      </c>
      <c r="B463" s="1">
        <v>6.32</v>
      </c>
      <c r="C463" s="1">
        <v>89</v>
      </c>
      <c r="D463" s="1">
        <v>95</v>
      </c>
      <c r="E463" s="1" t="s">
        <v>43</v>
      </c>
      <c r="F463" s="1">
        <v>0</v>
      </c>
      <c r="G463" s="1" t="s">
        <v>1720</v>
      </c>
      <c r="H463" s="1" t="s">
        <v>1721</v>
      </c>
      <c r="I463" s="1" t="str">
        <f>HYPERLINK("https://www.systembolaget.se/produkt/vin/ambleri-7169601/","https://www.systembolaget.se/produkt/vin/ambleri-7169601/")</f>
        <v>https://www.systembolaget.se/produkt/vin/ambleri-7169601/</v>
      </c>
      <c r="J463" s="1">
        <v>6.32</v>
      </c>
      <c r="K463" s="1">
        <v>6.32</v>
      </c>
      <c r="L463" s="2">
        <v>45958</v>
      </c>
      <c r="M463" s="1" t="s">
        <v>1722</v>
      </c>
      <c r="N463" s="1">
        <v>1.05</v>
      </c>
      <c r="O463" s="1">
        <v>750</v>
      </c>
      <c r="P463" s="1">
        <v>12.5</v>
      </c>
      <c r="Q463" s="1" t="s">
        <v>38</v>
      </c>
      <c r="R463" s="1" t="s">
        <v>39</v>
      </c>
      <c r="S463" s="1"/>
      <c r="T463" s="1"/>
      <c r="U463" s="1" t="s">
        <v>53</v>
      </c>
      <c r="V463" s="1" t="s">
        <v>651</v>
      </c>
      <c r="W463" s="1"/>
      <c r="X463" s="1" t="s">
        <v>1723</v>
      </c>
      <c r="Y463" s="1" t="s">
        <v>219</v>
      </c>
      <c r="Z463" s="1" t="s">
        <v>46</v>
      </c>
      <c r="AA463" s="1">
        <v>2024</v>
      </c>
      <c r="AB463" s="1" t="s">
        <v>77</v>
      </c>
      <c r="AC463" s="1" t="s">
        <v>45</v>
      </c>
      <c r="AD463" s="1" t="s">
        <v>43</v>
      </c>
      <c r="AE463" s="1" t="s">
        <v>43</v>
      </c>
      <c r="AF463" s="1"/>
      <c r="AG463" s="1" t="s">
        <v>43</v>
      </c>
      <c r="AH463" s="2">
        <v>45965</v>
      </c>
    </row>
    <row r="464" spans="1:34" x14ac:dyDescent="0.3">
      <c r="A464" s="1">
        <v>7390401</v>
      </c>
      <c r="B464" s="1">
        <v>6.32</v>
      </c>
      <c r="C464" s="1">
        <v>89</v>
      </c>
      <c r="D464" s="1">
        <v>95</v>
      </c>
      <c r="E464" s="1" t="s">
        <v>43</v>
      </c>
      <c r="F464" s="1">
        <v>0</v>
      </c>
      <c r="G464" s="1" t="s">
        <v>1720</v>
      </c>
      <c r="H464" s="1" t="s">
        <v>1724</v>
      </c>
      <c r="I464" s="1" t="str">
        <f>HYPERLINK("https://www.systembolaget.se/produkt/vin/ambleri-7390401/","https://www.systembolaget.se/produkt/vin/ambleri-7390401/")</f>
        <v>https://www.systembolaget.se/produkt/vin/ambleri-7390401/</v>
      </c>
      <c r="J464" s="1">
        <v>6.32</v>
      </c>
      <c r="K464" s="1">
        <v>6.32</v>
      </c>
      <c r="L464" s="2">
        <v>45958</v>
      </c>
      <c r="M464" s="1" t="s">
        <v>1722</v>
      </c>
      <c r="N464" s="1">
        <v>1.1000000000000001</v>
      </c>
      <c r="O464" s="1">
        <v>750</v>
      </c>
      <c r="P464" s="1">
        <v>13</v>
      </c>
      <c r="Q464" s="1" t="s">
        <v>38</v>
      </c>
      <c r="R464" s="1" t="s">
        <v>52</v>
      </c>
      <c r="S464" s="1"/>
      <c r="T464" s="1"/>
      <c r="U464" s="1" t="s">
        <v>53</v>
      </c>
      <c r="V464" s="1" t="s">
        <v>651</v>
      </c>
      <c r="W464" s="1"/>
      <c r="X464" s="1" t="s">
        <v>1723</v>
      </c>
      <c r="Y464" s="1" t="s">
        <v>219</v>
      </c>
      <c r="Z464" s="1" t="s">
        <v>46</v>
      </c>
      <c r="AA464" s="1">
        <v>2024</v>
      </c>
      <c r="AB464" s="1" t="s">
        <v>77</v>
      </c>
      <c r="AC464" s="1" t="s">
        <v>45</v>
      </c>
      <c r="AD464" s="1" t="s">
        <v>43</v>
      </c>
      <c r="AE464" s="1" t="s">
        <v>43</v>
      </c>
      <c r="AF464" s="1"/>
      <c r="AG464" s="1" t="s">
        <v>43</v>
      </c>
      <c r="AH464" s="2">
        <v>45965</v>
      </c>
    </row>
    <row r="465" spans="1:34" x14ac:dyDescent="0.3">
      <c r="A465" s="1">
        <v>742501</v>
      </c>
      <c r="B465" s="1">
        <v>6.32</v>
      </c>
      <c r="C465" s="1">
        <v>89</v>
      </c>
      <c r="D465" s="1">
        <v>95</v>
      </c>
      <c r="E465" s="1" t="s">
        <v>43</v>
      </c>
      <c r="F465" s="1">
        <v>0</v>
      </c>
      <c r="G465" s="1" t="s">
        <v>1725</v>
      </c>
      <c r="H465" s="1" t="s">
        <v>1726</v>
      </c>
      <c r="I465" s="1" t="str">
        <f>HYPERLINK("https://www.systembolaget.se/produkt/vin/charles-de-fere-742501/","https://www.systembolaget.se/produkt/vin/charles-de-fere-742501/")</f>
        <v>https://www.systembolaget.se/produkt/vin/charles-de-fere-742501/</v>
      </c>
      <c r="J465" s="1">
        <v>6.32</v>
      </c>
      <c r="K465" s="1">
        <v>6.32</v>
      </c>
      <c r="L465" s="2">
        <v>45389</v>
      </c>
      <c r="M465" s="1" t="s">
        <v>1727</v>
      </c>
      <c r="N465" s="1">
        <v>0.97</v>
      </c>
      <c r="O465" s="1">
        <v>750</v>
      </c>
      <c r="P465" s="1">
        <v>11.5</v>
      </c>
      <c r="Q465" s="1" t="s">
        <v>38</v>
      </c>
      <c r="R465" s="1" t="s">
        <v>61</v>
      </c>
      <c r="S465" s="1" t="s">
        <v>68</v>
      </c>
      <c r="T465" s="1"/>
      <c r="U465" s="1" t="s">
        <v>101</v>
      </c>
      <c r="V465" s="1"/>
      <c r="W465" s="1"/>
      <c r="X465" s="1" t="s">
        <v>1725</v>
      </c>
      <c r="Y465" s="1" t="s">
        <v>188</v>
      </c>
      <c r="Z465" s="1" t="s">
        <v>43</v>
      </c>
      <c r="AA465" s="1"/>
      <c r="AB465" s="1" t="s">
        <v>44</v>
      </c>
      <c r="AC465" s="1" t="s">
        <v>90</v>
      </c>
      <c r="AD465" s="1" t="s">
        <v>43</v>
      </c>
      <c r="AE465" s="1" t="s">
        <v>43</v>
      </c>
      <c r="AF465" s="1">
        <v>6</v>
      </c>
      <c r="AG465" s="1" t="s">
        <v>43</v>
      </c>
      <c r="AH465" s="2">
        <v>39174</v>
      </c>
    </row>
    <row r="466" spans="1:34" x14ac:dyDescent="0.3">
      <c r="A466" s="1">
        <v>8672602</v>
      </c>
      <c r="B466" s="1">
        <v>6.31</v>
      </c>
      <c r="C466" s="1">
        <v>282</v>
      </c>
      <c r="D466" s="1">
        <v>301</v>
      </c>
      <c r="E466" s="1" t="s">
        <v>43</v>
      </c>
      <c r="F466" s="1">
        <v>0</v>
      </c>
      <c r="G466" s="1" t="s">
        <v>1728</v>
      </c>
      <c r="H466" s="1"/>
      <c r="I466" s="1" t="str">
        <f>HYPERLINK("https://www.systembolaget.se/produkt/sprit/varmdo-akvavit-8672602/","https://www.systembolaget.se/produkt/sprit/varmdo-akvavit-8672602/")</f>
        <v>https://www.systembolaget.se/produkt/sprit/varmdo-akvavit-8672602/</v>
      </c>
      <c r="J466" s="1">
        <v>5.05</v>
      </c>
      <c r="K466" s="1">
        <v>6.31</v>
      </c>
      <c r="L466" s="2">
        <v>45534</v>
      </c>
      <c r="M466" s="1" t="s">
        <v>1729</v>
      </c>
      <c r="N466" s="1">
        <v>0.67</v>
      </c>
      <c r="O466" s="1">
        <v>500</v>
      </c>
      <c r="P466" s="1">
        <v>38</v>
      </c>
      <c r="Q466" s="1" t="s">
        <v>308</v>
      </c>
      <c r="R466" s="1" t="s">
        <v>1645</v>
      </c>
      <c r="S466" s="1" t="s">
        <v>1702</v>
      </c>
      <c r="T466" s="1"/>
      <c r="U466" s="1" t="s">
        <v>110</v>
      </c>
      <c r="V466" s="1" t="s">
        <v>380</v>
      </c>
      <c r="W466" s="1" t="s">
        <v>1635</v>
      </c>
      <c r="X466" s="1" t="s">
        <v>382</v>
      </c>
      <c r="Y466" s="1" t="s">
        <v>382</v>
      </c>
      <c r="Z466" s="1" t="s">
        <v>43</v>
      </c>
      <c r="AA466" s="1"/>
      <c r="AB466" s="1" t="s">
        <v>44</v>
      </c>
      <c r="AC466" s="1" t="s">
        <v>115</v>
      </c>
      <c r="AD466" s="1" t="s">
        <v>46</v>
      </c>
      <c r="AE466" s="1" t="s">
        <v>43</v>
      </c>
      <c r="AF466" s="1">
        <v>4</v>
      </c>
      <c r="AG466" s="1" t="s">
        <v>43</v>
      </c>
      <c r="AH466" s="2">
        <v>41761</v>
      </c>
    </row>
    <row r="467" spans="1:34" x14ac:dyDescent="0.3">
      <c r="A467" s="1">
        <v>589901</v>
      </c>
      <c r="B467" s="1">
        <v>6.29</v>
      </c>
      <c r="C467" s="1">
        <v>149</v>
      </c>
      <c r="D467" s="1">
        <v>159</v>
      </c>
      <c r="E467" s="1" t="s">
        <v>43</v>
      </c>
      <c r="F467" s="1">
        <v>0</v>
      </c>
      <c r="G467" s="1" t="s">
        <v>1730</v>
      </c>
      <c r="H467" s="1" t="s">
        <v>1731</v>
      </c>
      <c r="I467" s="1" t="str">
        <f>HYPERLINK("https://www.systembolaget.se/produkt/vin/georg-breuer-589901/","https://www.systembolaget.se/produkt/vin/georg-breuer-589901/")</f>
        <v>https://www.systembolaget.se/produkt/vin/georg-breuer-589901/</v>
      </c>
      <c r="J467" s="1">
        <v>0</v>
      </c>
      <c r="K467" s="1">
        <v>6.29</v>
      </c>
      <c r="L467" s="2">
        <v>45389</v>
      </c>
      <c r="M467" s="1" t="s">
        <v>1732</v>
      </c>
      <c r="N467" s="1">
        <v>0.57999999999999996</v>
      </c>
      <c r="O467" s="1">
        <v>750</v>
      </c>
      <c r="P467" s="1">
        <v>11.5</v>
      </c>
      <c r="Q467" s="1" t="s">
        <v>38</v>
      </c>
      <c r="R467" s="1" t="s">
        <v>39</v>
      </c>
      <c r="S467" s="1" t="s">
        <v>184</v>
      </c>
      <c r="T467" s="1"/>
      <c r="U467" s="1" t="s">
        <v>119</v>
      </c>
      <c r="V467" s="1" t="s">
        <v>1099</v>
      </c>
      <c r="W467" s="1"/>
      <c r="X467" s="1" t="s">
        <v>1730</v>
      </c>
      <c r="Y467" s="1" t="s">
        <v>407</v>
      </c>
      <c r="Z467" s="1" t="s">
        <v>43</v>
      </c>
      <c r="AA467" s="1">
        <v>2025</v>
      </c>
      <c r="AB467" s="1" t="s">
        <v>77</v>
      </c>
      <c r="AC467" s="1" t="s">
        <v>90</v>
      </c>
      <c r="AD467" s="1" t="s">
        <v>43</v>
      </c>
      <c r="AE467" s="1" t="s">
        <v>43</v>
      </c>
      <c r="AF467" s="1">
        <v>5</v>
      </c>
      <c r="AG467" s="1" t="s">
        <v>43</v>
      </c>
      <c r="AH467" s="2">
        <v>37928</v>
      </c>
    </row>
    <row r="468" spans="1:34" x14ac:dyDescent="0.3">
      <c r="A468" s="1">
        <v>5871701</v>
      </c>
      <c r="B468" s="1">
        <v>6.29</v>
      </c>
      <c r="C468" s="1">
        <v>149</v>
      </c>
      <c r="D468" s="1">
        <v>159</v>
      </c>
      <c r="E468" s="1" t="s">
        <v>43</v>
      </c>
      <c r="F468" s="1">
        <v>6</v>
      </c>
      <c r="G468" s="1" t="s">
        <v>1733</v>
      </c>
      <c r="H468" s="1"/>
      <c r="I468" s="1" t="str">
        <f>HYPERLINK("https://www.systembolaget.se/produkt/vin/promessa-5871701/","https://www.systembolaget.se/produkt/vin/promessa-5871701/")</f>
        <v>https://www.systembolaget.se/produkt/vin/promessa-5871701/</v>
      </c>
      <c r="J468" s="1">
        <v>0</v>
      </c>
      <c r="K468" s="1">
        <v>6.29</v>
      </c>
      <c r="L468" s="2">
        <v>45389</v>
      </c>
      <c r="M468" s="1" t="s">
        <v>1734</v>
      </c>
      <c r="N468" s="1">
        <v>0.73</v>
      </c>
      <c r="O468" s="1">
        <v>750</v>
      </c>
      <c r="P468" s="1">
        <v>14.5</v>
      </c>
      <c r="Q468" s="1" t="s">
        <v>38</v>
      </c>
      <c r="R468" s="1" t="s">
        <v>52</v>
      </c>
      <c r="S468" s="1"/>
      <c r="T468" s="1"/>
      <c r="U468" s="1" t="s">
        <v>1668</v>
      </c>
      <c r="V468" s="1" t="s">
        <v>1669</v>
      </c>
      <c r="W468" s="1" t="s">
        <v>1670</v>
      </c>
      <c r="X468" s="1" t="s">
        <v>1671</v>
      </c>
      <c r="Y468" s="1" t="s">
        <v>1672</v>
      </c>
      <c r="Z468" s="1" t="s">
        <v>43</v>
      </c>
      <c r="AA468" s="1">
        <v>2021</v>
      </c>
      <c r="AB468" s="1" t="s">
        <v>44</v>
      </c>
      <c r="AC468" s="1" t="s">
        <v>45</v>
      </c>
      <c r="AD468" s="1" t="s">
        <v>46</v>
      </c>
      <c r="AE468" s="1" t="s">
        <v>43</v>
      </c>
      <c r="AF468" s="1"/>
      <c r="AG468" s="1" t="s">
        <v>43</v>
      </c>
      <c r="AH468" s="2">
        <v>44865</v>
      </c>
    </row>
    <row r="469" spans="1:34" x14ac:dyDescent="0.3">
      <c r="A469" s="1">
        <v>5523801</v>
      </c>
      <c r="B469" s="1">
        <v>6.29</v>
      </c>
      <c r="C469" s="1">
        <v>149</v>
      </c>
      <c r="D469" s="1">
        <v>159</v>
      </c>
      <c r="E469" s="1" t="s">
        <v>43</v>
      </c>
      <c r="F469" s="1">
        <v>0</v>
      </c>
      <c r="G469" s="1" t="s">
        <v>1735</v>
      </c>
      <c r="H469" s="1" t="s">
        <v>1736</v>
      </c>
      <c r="I469" s="1" t="str">
        <f>HYPERLINK("https://www.systembolaget.se/produkt/vin/marastoni-5523801/","https://www.systembolaget.se/produkt/vin/marastoni-5523801/")</f>
        <v>https://www.systembolaget.se/produkt/vin/marastoni-5523801/</v>
      </c>
      <c r="J469" s="1">
        <v>6.29</v>
      </c>
      <c r="K469" s="1">
        <v>6.29</v>
      </c>
      <c r="L469" s="2">
        <v>45504</v>
      </c>
      <c r="M469" s="1" t="s">
        <v>1737</v>
      </c>
      <c r="N469" s="1">
        <v>0.68</v>
      </c>
      <c r="O469" s="1">
        <v>750</v>
      </c>
      <c r="P469" s="1">
        <v>13.5</v>
      </c>
      <c r="Q469" s="1" t="s">
        <v>38</v>
      </c>
      <c r="R469" s="1" t="s">
        <v>52</v>
      </c>
      <c r="S469" s="1" t="s">
        <v>687</v>
      </c>
      <c r="T469" s="1"/>
      <c r="U469" s="1" t="s">
        <v>53</v>
      </c>
      <c r="V469" s="1" t="s">
        <v>63</v>
      </c>
      <c r="W469" s="1" t="s">
        <v>1736</v>
      </c>
      <c r="X469" s="1" t="s">
        <v>1738</v>
      </c>
      <c r="Y469" s="1" t="s">
        <v>666</v>
      </c>
      <c r="Z469" s="1" t="s">
        <v>43</v>
      </c>
      <c r="AA469" s="1">
        <v>2020</v>
      </c>
      <c r="AB469" s="1" t="s">
        <v>44</v>
      </c>
      <c r="AC469" s="1" t="s">
        <v>45</v>
      </c>
      <c r="AD469" s="1" t="s">
        <v>43</v>
      </c>
      <c r="AE469" s="1" t="s">
        <v>43</v>
      </c>
      <c r="AF469" s="1"/>
      <c r="AG469" s="1" t="s">
        <v>43</v>
      </c>
      <c r="AH469" s="2">
        <v>44592</v>
      </c>
    </row>
    <row r="470" spans="1:34" x14ac:dyDescent="0.3">
      <c r="A470" s="1">
        <v>7478701</v>
      </c>
      <c r="B470" s="1">
        <v>6.29</v>
      </c>
      <c r="C470" s="1">
        <v>149</v>
      </c>
      <c r="D470" s="1">
        <v>159</v>
      </c>
      <c r="E470" s="1" t="s">
        <v>43</v>
      </c>
      <c r="F470" s="1">
        <v>0</v>
      </c>
      <c r="G470" s="1" t="s">
        <v>1739</v>
      </c>
      <c r="H470" s="1" t="s">
        <v>1740</v>
      </c>
      <c r="I470" s="1" t="str">
        <f>HYPERLINK("https://www.systembolaget.se/produkt/vin/qm-7478701/","https://www.systembolaget.se/produkt/vin/qm-7478701/")</f>
        <v>https://www.systembolaget.se/produkt/vin/qm-7478701/</v>
      </c>
      <c r="J470" s="1">
        <v>6.29</v>
      </c>
      <c r="K470" s="1">
        <v>6.29</v>
      </c>
      <c r="L470" s="2">
        <v>45657</v>
      </c>
      <c r="M470" s="1" t="s">
        <v>1737</v>
      </c>
      <c r="N470" s="1">
        <v>0.63</v>
      </c>
      <c r="O470" s="1">
        <v>750</v>
      </c>
      <c r="P470" s="1">
        <v>12.5</v>
      </c>
      <c r="Q470" s="1" t="s">
        <v>38</v>
      </c>
      <c r="R470" s="1" t="s">
        <v>39</v>
      </c>
      <c r="S470" s="1"/>
      <c r="T470" s="1"/>
      <c r="U470" s="1" t="s">
        <v>272</v>
      </c>
      <c r="V470" s="1" t="s">
        <v>1741</v>
      </c>
      <c r="W470" s="1" t="s">
        <v>1742</v>
      </c>
      <c r="X470" s="1" t="s">
        <v>1743</v>
      </c>
      <c r="Y470" s="1" t="s">
        <v>299</v>
      </c>
      <c r="Z470" s="1" t="s">
        <v>43</v>
      </c>
      <c r="AA470" s="1">
        <v>2025</v>
      </c>
      <c r="AB470" s="1" t="s">
        <v>44</v>
      </c>
      <c r="AC470" s="1" t="s">
        <v>45</v>
      </c>
      <c r="AD470" s="1" t="s">
        <v>43</v>
      </c>
      <c r="AE470" s="1" t="s">
        <v>43</v>
      </c>
      <c r="AF470" s="1"/>
      <c r="AG470" s="1" t="s">
        <v>43</v>
      </c>
      <c r="AH470" s="2">
        <v>45664</v>
      </c>
    </row>
    <row r="471" spans="1:34" x14ac:dyDescent="0.3">
      <c r="A471" s="1">
        <v>7536001</v>
      </c>
      <c r="B471" s="1">
        <v>6.27</v>
      </c>
      <c r="C471" s="1">
        <v>299</v>
      </c>
      <c r="D471" s="1">
        <v>319</v>
      </c>
      <c r="E471" s="1" t="s">
        <v>43</v>
      </c>
      <c r="F471" s="1">
        <v>0</v>
      </c>
      <c r="G471" s="1" t="s">
        <v>1744</v>
      </c>
      <c r="H471" s="1" t="s">
        <v>281</v>
      </c>
      <c r="I471" s="1" t="str">
        <f>HYPERLINK("https://www.systembolaget.se/produkt/vin/black-stallion-napa-valley-7536001/","https://www.systembolaget.se/produkt/vin/black-stallion-napa-valley-7536001/")</f>
        <v>https://www.systembolaget.se/produkt/vin/black-stallion-napa-valley-7536001/</v>
      </c>
      <c r="J471" s="1">
        <v>6.27</v>
      </c>
      <c r="K471" s="1">
        <v>6.27</v>
      </c>
      <c r="L471" s="2">
        <v>45389</v>
      </c>
      <c r="M471" s="1" t="s">
        <v>1745</v>
      </c>
      <c r="N471" s="1">
        <v>0.36</v>
      </c>
      <c r="O471" s="1">
        <v>750</v>
      </c>
      <c r="P471" s="1">
        <v>14.5</v>
      </c>
      <c r="Q471" s="1" t="s">
        <v>38</v>
      </c>
      <c r="R471" s="1" t="s">
        <v>39</v>
      </c>
      <c r="S471" s="1" t="s">
        <v>283</v>
      </c>
      <c r="T471" s="1"/>
      <c r="U471" s="1" t="s">
        <v>73</v>
      </c>
      <c r="V471" s="1" t="s">
        <v>74</v>
      </c>
      <c r="W471" s="1" t="s">
        <v>1134</v>
      </c>
      <c r="X471" s="1" t="s">
        <v>1746</v>
      </c>
      <c r="Y471" s="1" t="s">
        <v>1747</v>
      </c>
      <c r="Z471" s="1" t="s">
        <v>43</v>
      </c>
      <c r="AA471" s="1">
        <v>2021</v>
      </c>
      <c r="AB471" s="1" t="s">
        <v>44</v>
      </c>
      <c r="AC471" s="1" t="s">
        <v>90</v>
      </c>
      <c r="AD471" s="1" t="s">
        <v>43</v>
      </c>
      <c r="AE471" s="1" t="s">
        <v>43</v>
      </c>
      <c r="AF471" s="1">
        <v>2</v>
      </c>
      <c r="AG471" s="1" t="s">
        <v>43</v>
      </c>
      <c r="AH471" s="2">
        <v>42339</v>
      </c>
    </row>
    <row r="472" spans="1:34" x14ac:dyDescent="0.3">
      <c r="A472" s="1">
        <v>7807301</v>
      </c>
      <c r="B472" s="1">
        <v>6.27</v>
      </c>
      <c r="C472" s="1">
        <v>299</v>
      </c>
      <c r="D472" s="1">
        <v>319</v>
      </c>
      <c r="E472" s="1" t="s">
        <v>43</v>
      </c>
      <c r="F472" s="1">
        <v>0</v>
      </c>
      <c r="G472" s="1" t="s">
        <v>1748</v>
      </c>
      <c r="H472" s="1" t="s">
        <v>1749</v>
      </c>
      <c r="I472" s="1" t="str">
        <f>HYPERLINK("https://www.systembolaget.se/produkt/vin/moretta-wines-7807301/","https://www.systembolaget.se/produkt/vin/moretta-wines-7807301/")</f>
        <v>https://www.systembolaget.se/produkt/vin/moretta-wines-7807301/</v>
      </c>
      <c r="J472" s="1">
        <v>6.27</v>
      </c>
      <c r="K472" s="1">
        <v>6.27</v>
      </c>
      <c r="L472" s="2">
        <v>45917</v>
      </c>
      <c r="M472" s="1" t="s">
        <v>1750</v>
      </c>
      <c r="N472" s="1">
        <v>0.36</v>
      </c>
      <c r="O472" s="1">
        <v>750</v>
      </c>
      <c r="P472" s="1">
        <v>14.5</v>
      </c>
      <c r="Q472" s="1" t="s">
        <v>38</v>
      </c>
      <c r="R472" s="1" t="s">
        <v>52</v>
      </c>
      <c r="S472" s="1" t="s">
        <v>84</v>
      </c>
      <c r="T472" s="1"/>
      <c r="U472" s="1" t="s">
        <v>360</v>
      </c>
      <c r="V472" s="1" t="s">
        <v>504</v>
      </c>
      <c r="W472" s="1" t="s">
        <v>1751</v>
      </c>
      <c r="X472" s="1" t="s">
        <v>1752</v>
      </c>
      <c r="Y472" s="1" t="s">
        <v>1753</v>
      </c>
      <c r="Z472" s="1" t="s">
        <v>43</v>
      </c>
      <c r="AA472" s="1">
        <v>2021</v>
      </c>
      <c r="AB472" s="1" t="s">
        <v>44</v>
      </c>
      <c r="AC472" s="1" t="s">
        <v>45</v>
      </c>
      <c r="AD472" s="1" t="s">
        <v>43</v>
      </c>
      <c r="AE472" s="1" t="s">
        <v>43</v>
      </c>
      <c r="AF472" s="1">
        <v>2</v>
      </c>
      <c r="AG472" s="1" t="s">
        <v>43</v>
      </c>
      <c r="AH472" s="2">
        <v>45931</v>
      </c>
    </row>
    <row r="473" spans="1:34" x14ac:dyDescent="0.3">
      <c r="A473" s="1">
        <v>5906901</v>
      </c>
      <c r="B473" s="1">
        <v>6.27</v>
      </c>
      <c r="C473" s="1">
        <v>299</v>
      </c>
      <c r="D473" s="1">
        <v>319</v>
      </c>
      <c r="E473" s="1" t="s">
        <v>43</v>
      </c>
      <c r="F473" s="1">
        <v>0</v>
      </c>
      <c r="G473" s="1" t="s">
        <v>1754</v>
      </c>
      <c r="H473" s="1" t="s">
        <v>281</v>
      </c>
      <c r="I473" s="1" t="str">
        <f>HYPERLINK("https://www.systembolaget.se/produkt/vin/meerlust-5906901/","https://www.systembolaget.se/produkt/vin/meerlust-5906901/")</f>
        <v>https://www.systembolaget.se/produkt/vin/meerlust-5906901/</v>
      </c>
      <c r="J473" s="1">
        <v>6.27</v>
      </c>
      <c r="K473" s="1">
        <v>6.27</v>
      </c>
      <c r="L473" s="2">
        <v>45389</v>
      </c>
      <c r="M473" s="1" t="s">
        <v>1755</v>
      </c>
      <c r="N473" s="1">
        <v>0.33</v>
      </c>
      <c r="O473" s="1">
        <v>750</v>
      </c>
      <c r="P473" s="1">
        <v>13</v>
      </c>
      <c r="Q473" s="1" t="s">
        <v>38</v>
      </c>
      <c r="R473" s="1" t="s">
        <v>39</v>
      </c>
      <c r="S473" s="1"/>
      <c r="T473" s="1"/>
      <c r="U473" s="1" t="s">
        <v>289</v>
      </c>
      <c r="V473" s="1" t="s">
        <v>290</v>
      </c>
      <c r="W473" s="1" t="s">
        <v>291</v>
      </c>
      <c r="X473" s="1" t="s">
        <v>1754</v>
      </c>
      <c r="Y473" s="1" t="s">
        <v>678</v>
      </c>
      <c r="Z473" s="1" t="s">
        <v>43</v>
      </c>
      <c r="AA473" s="1">
        <v>2024</v>
      </c>
      <c r="AB473" s="1" t="s">
        <v>44</v>
      </c>
      <c r="AC473" s="1" t="s">
        <v>45</v>
      </c>
      <c r="AD473" s="1" t="s">
        <v>43</v>
      </c>
      <c r="AE473" s="1" t="s">
        <v>43</v>
      </c>
      <c r="AF473" s="1"/>
      <c r="AG473" s="1" t="s">
        <v>43</v>
      </c>
      <c r="AH473" s="2">
        <v>44942</v>
      </c>
    </row>
    <row r="474" spans="1:34" x14ac:dyDescent="0.3">
      <c r="A474" s="1">
        <v>57102</v>
      </c>
      <c r="B474" s="1">
        <v>6.27</v>
      </c>
      <c r="C474" s="1">
        <v>299</v>
      </c>
      <c r="D474" s="1">
        <v>319</v>
      </c>
      <c r="E474" s="1" t="s">
        <v>43</v>
      </c>
      <c r="F474" s="1">
        <v>0</v>
      </c>
      <c r="G474" s="1" t="s">
        <v>1756</v>
      </c>
      <c r="H474" s="1" t="s">
        <v>1757</v>
      </c>
      <c r="I474" s="1" t="str">
        <f>HYPERLINK("https://www.systembolaget.se/produkt/sprit/laphroaig-57102/","https://www.systembolaget.se/produkt/sprit/laphroaig-57102/")</f>
        <v>https://www.systembolaget.se/produkt/sprit/laphroaig-57102/</v>
      </c>
      <c r="J474" s="1">
        <v>6.27</v>
      </c>
      <c r="K474" s="1">
        <v>6.27</v>
      </c>
      <c r="L474" s="2">
        <v>45392</v>
      </c>
      <c r="M474" s="1" t="s">
        <v>1750</v>
      </c>
      <c r="N474" s="1">
        <v>0.47</v>
      </c>
      <c r="O474" s="1">
        <v>350</v>
      </c>
      <c r="P474" s="1">
        <v>40</v>
      </c>
      <c r="Q474" s="1" t="s">
        <v>308</v>
      </c>
      <c r="R474" s="1" t="s">
        <v>309</v>
      </c>
      <c r="S474" s="1" t="s">
        <v>318</v>
      </c>
      <c r="T474" s="1"/>
      <c r="U474" s="1" t="s">
        <v>253</v>
      </c>
      <c r="V474" s="1" t="s">
        <v>254</v>
      </c>
      <c r="W474" s="1" t="s">
        <v>641</v>
      </c>
      <c r="X474" s="1" t="s">
        <v>1758</v>
      </c>
      <c r="Y474" s="1" t="s">
        <v>619</v>
      </c>
      <c r="Z474" s="1" t="s">
        <v>43</v>
      </c>
      <c r="AA474" s="1"/>
      <c r="AB474" s="1" t="s">
        <v>44</v>
      </c>
      <c r="AC474" s="1" t="s">
        <v>90</v>
      </c>
      <c r="AD474" s="1" t="s">
        <v>43</v>
      </c>
      <c r="AE474" s="1" t="s">
        <v>43</v>
      </c>
      <c r="AF474" s="1">
        <v>2</v>
      </c>
      <c r="AG474" s="1" t="s">
        <v>43</v>
      </c>
      <c r="AH474" s="2">
        <v>35856</v>
      </c>
    </row>
    <row r="475" spans="1:34" x14ac:dyDescent="0.3">
      <c r="A475" s="1">
        <v>3209135</v>
      </c>
      <c r="B475" s="1">
        <v>6.27</v>
      </c>
      <c r="C475" s="1">
        <v>29.9</v>
      </c>
      <c r="D475" s="1">
        <v>31.9</v>
      </c>
      <c r="E475" s="1" t="s">
        <v>551</v>
      </c>
      <c r="F475" s="1">
        <v>0</v>
      </c>
      <c r="G475" s="1" t="s">
        <v>915</v>
      </c>
      <c r="H475" s="1" t="s">
        <v>1759</v>
      </c>
      <c r="I475" s="1" t="str">
        <f>HYPERLINK("https://www.systembolaget.se/produkt/ol/bromma-allmanna-bryggeri-3209135/","https://www.systembolaget.se/produkt/ol/bromma-allmanna-bryggeri-3209135/")</f>
        <v>https://www.systembolaget.se/produkt/ol/bromma-allmanna-bryggeri-3209135/</v>
      </c>
      <c r="J475" s="1"/>
      <c r="K475" s="1">
        <v>6.27</v>
      </c>
      <c r="L475" s="2">
        <v>46125</v>
      </c>
      <c r="M475" s="1" t="s">
        <v>1760</v>
      </c>
      <c r="N475" s="1">
        <v>0.49</v>
      </c>
      <c r="O475" s="1">
        <v>330</v>
      </c>
      <c r="P475" s="1">
        <v>4.4000000000000004</v>
      </c>
      <c r="Q475" s="1" t="s">
        <v>107</v>
      </c>
      <c r="R475" s="1" t="s">
        <v>108</v>
      </c>
      <c r="S475" s="1" t="s">
        <v>1761</v>
      </c>
      <c r="T475" s="1"/>
      <c r="U475" s="1" t="s">
        <v>110</v>
      </c>
      <c r="V475" s="1" t="s">
        <v>380</v>
      </c>
      <c r="W475" s="1" t="s">
        <v>919</v>
      </c>
      <c r="X475" s="1" t="s">
        <v>920</v>
      </c>
      <c r="Y475" s="1" t="s">
        <v>920</v>
      </c>
      <c r="Z475" s="1" t="s">
        <v>43</v>
      </c>
      <c r="AA475" s="1"/>
      <c r="AB475" s="1" t="s">
        <v>114</v>
      </c>
      <c r="AC475" s="1" t="s">
        <v>115</v>
      </c>
      <c r="AD475" s="1" t="s">
        <v>43</v>
      </c>
      <c r="AE475" s="1" t="s">
        <v>43</v>
      </c>
      <c r="AF475" s="1"/>
      <c r="AG475" s="1" t="s">
        <v>43</v>
      </c>
      <c r="AH475" s="2">
        <v>46146</v>
      </c>
    </row>
    <row r="476" spans="1:34" x14ac:dyDescent="0.3">
      <c r="A476" s="1">
        <v>8161401</v>
      </c>
      <c r="B476" s="1">
        <v>6.27</v>
      </c>
      <c r="C476" s="1">
        <v>299</v>
      </c>
      <c r="D476" s="1">
        <v>319</v>
      </c>
      <c r="E476" s="1" t="s">
        <v>43</v>
      </c>
      <c r="F476" s="1">
        <v>0</v>
      </c>
      <c r="G476" s="1" t="s">
        <v>1262</v>
      </c>
      <c r="H476" s="1" t="s">
        <v>1762</v>
      </c>
      <c r="I476" s="1" t="str">
        <f>HYPERLINK("https://www.systembolaget.se/produkt/sprit/bacanal-8161401/","https://www.systembolaget.se/produkt/sprit/bacanal-8161401/")</f>
        <v>https://www.systembolaget.se/produkt/sprit/bacanal-8161401/</v>
      </c>
      <c r="J476" s="1"/>
      <c r="K476" s="1">
        <v>6.27</v>
      </c>
      <c r="L476" s="2">
        <v>46195</v>
      </c>
      <c r="M476" s="1" t="s">
        <v>1750</v>
      </c>
      <c r="N476" s="1">
        <v>0.88</v>
      </c>
      <c r="O476" s="1">
        <v>700</v>
      </c>
      <c r="P476" s="1">
        <v>37.5</v>
      </c>
      <c r="Q476" s="1" t="s">
        <v>308</v>
      </c>
      <c r="R476" s="1" t="s">
        <v>908</v>
      </c>
      <c r="S476" s="1" t="s">
        <v>1362</v>
      </c>
      <c r="T476" s="1"/>
      <c r="U476" s="1" t="s">
        <v>1265</v>
      </c>
      <c r="V476" s="1"/>
      <c r="W476" s="1"/>
      <c r="X476" s="1" t="s">
        <v>1266</v>
      </c>
      <c r="Y476" s="1" t="s">
        <v>1267</v>
      </c>
      <c r="Z476" s="1" t="s">
        <v>43</v>
      </c>
      <c r="AA476" s="1"/>
      <c r="AB476" s="1" t="s">
        <v>44</v>
      </c>
      <c r="AC476" s="1" t="s">
        <v>45</v>
      </c>
      <c r="AD476" s="1" t="s">
        <v>43</v>
      </c>
      <c r="AE476" s="1" t="s">
        <v>43</v>
      </c>
      <c r="AF476" s="1"/>
      <c r="AG476" s="1" t="s">
        <v>43</v>
      </c>
      <c r="AH476" s="2">
        <v>46202</v>
      </c>
    </row>
    <row r="477" spans="1:34" x14ac:dyDescent="0.3">
      <c r="A477" s="1">
        <v>8440901</v>
      </c>
      <c r="B477" s="1">
        <v>6.26</v>
      </c>
      <c r="C477" s="1">
        <v>599</v>
      </c>
      <c r="D477" s="1">
        <v>639</v>
      </c>
      <c r="E477" s="1" t="s">
        <v>43</v>
      </c>
      <c r="F477" s="1">
        <v>0</v>
      </c>
      <c r="G477" s="1" t="s">
        <v>1763</v>
      </c>
      <c r="H477" s="1" t="s">
        <v>1764</v>
      </c>
      <c r="I477" s="1" t="str">
        <f>HYPERLINK("https://www.systembolaget.se/produkt/sprit/hinomaru-8440901/","https://www.systembolaget.se/produkt/sprit/hinomaru-8440901/")</f>
        <v>https://www.systembolaget.se/produkt/sprit/hinomaru-8440901/</v>
      </c>
      <c r="J477" s="1">
        <v>4.7699999999999996</v>
      </c>
      <c r="K477" s="1">
        <v>6.26</v>
      </c>
      <c r="L477" s="2">
        <v>45749</v>
      </c>
      <c r="M477" s="1" t="s">
        <v>1765</v>
      </c>
      <c r="N477" s="1">
        <v>0.47</v>
      </c>
      <c r="O477" s="1">
        <v>700</v>
      </c>
      <c r="P477" s="1">
        <v>40</v>
      </c>
      <c r="Q477" s="1" t="s">
        <v>308</v>
      </c>
      <c r="R477" s="1" t="s">
        <v>487</v>
      </c>
      <c r="S477" s="1" t="s">
        <v>488</v>
      </c>
      <c r="T477" s="1"/>
      <c r="U477" s="1" t="s">
        <v>855</v>
      </c>
      <c r="V477" s="1"/>
      <c r="W477" s="1"/>
      <c r="X477" s="1" t="s">
        <v>1766</v>
      </c>
      <c r="Y477" s="1" t="s">
        <v>1767</v>
      </c>
      <c r="Z477" s="1" t="s">
        <v>43</v>
      </c>
      <c r="AA477" s="1"/>
      <c r="AB477" s="1" t="s">
        <v>44</v>
      </c>
      <c r="AC477" s="1" t="s">
        <v>45</v>
      </c>
      <c r="AD477" s="1" t="s">
        <v>43</v>
      </c>
      <c r="AE477" s="1" t="s">
        <v>43</v>
      </c>
      <c r="AF477" s="1"/>
      <c r="AG477" s="1" t="s">
        <v>43</v>
      </c>
      <c r="AH477" s="2">
        <v>45756</v>
      </c>
    </row>
    <row r="478" spans="1:34" x14ac:dyDescent="0.3">
      <c r="A478" s="1">
        <v>9012601</v>
      </c>
      <c r="B478" s="1">
        <v>6.26</v>
      </c>
      <c r="C478" s="1">
        <v>749</v>
      </c>
      <c r="D478" s="1">
        <v>799</v>
      </c>
      <c r="E478" s="1" t="s">
        <v>551</v>
      </c>
      <c r="F478" s="1">
        <v>0</v>
      </c>
      <c r="G478" s="1" t="s">
        <v>1768</v>
      </c>
      <c r="H478" s="1" t="s">
        <v>1769</v>
      </c>
      <c r="I478" s="1" t="str">
        <f>HYPERLINK("https://www.systembolaget.se/produkt/vin/stilema-taurasi-9012601/","https://www.systembolaget.se/produkt/vin/stilema-taurasi-9012601/")</f>
        <v>https://www.systembolaget.se/produkt/vin/stilema-taurasi-9012601/</v>
      </c>
      <c r="J478" s="1">
        <v>11.78</v>
      </c>
      <c r="K478" s="1">
        <v>6.26</v>
      </c>
      <c r="L478" s="2">
        <v>45389</v>
      </c>
      <c r="M478" s="1" t="s">
        <v>1770</v>
      </c>
      <c r="N478" s="1">
        <v>0.13</v>
      </c>
      <c r="O478" s="1">
        <v>750</v>
      </c>
      <c r="P478" s="1">
        <v>13</v>
      </c>
      <c r="Q478" s="1" t="s">
        <v>38</v>
      </c>
      <c r="R478" s="1" t="s">
        <v>52</v>
      </c>
      <c r="S478" s="1"/>
      <c r="T478" s="1"/>
      <c r="U478" s="1" t="s">
        <v>53</v>
      </c>
      <c r="V478" s="1" t="s">
        <v>1685</v>
      </c>
      <c r="W478" s="1" t="s">
        <v>1686</v>
      </c>
      <c r="X478" s="1" t="s">
        <v>1769</v>
      </c>
      <c r="Y478" s="1" t="s">
        <v>678</v>
      </c>
      <c r="Z478" s="1" t="s">
        <v>43</v>
      </c>
      <c r="AA478" s="1">
        <v>2015</v>
      </c>
      <c r="AB478" s="1" t="s">
        <v>44</v>
      </c>
      <c r="AC478" s="1" t="s">
        <v>45</v>
      </c>
      <c r="AD478" s="1" t="s">
        <v>43</v>
      </c>
      <c r="AE478" s="1" t="s">
        <v>43</v>
      </c>
      <c r="AF478" s="1"/>
      <c r="AG478" s="1" t="s">
        <v>43</v>
      </c>
      <c r="AH478" s="2">
        <v>44617</v>
      </c>
    </row>
    <row r="479" spans="1:34" x14ac:dyDescent="0.3">
      <c r="A479" s="1">
        <v>44001</v>
      </c>
      <c r="B479" s="1">
        <v>6.26</v>
      </c>
      <c r="C479" s="1">
        <v>449</v>
      </c>
      <c r="D479" s="1">
        <v>479</v>
      </c>
      <c r="E479" s="1" t="s">
        <v>43</v>
      </c>
      <c r="F479" s="1">
        <v>0</v>
      </c>
      <c r="G479" s="1" t="s">
        <v>1771</v>
      </c>
      <c r="H479" s="1" t="s">
        <v>792</v>
      </c>
      <c r="I479" s="1" t="str">
        <f>HYPERLINK("https://www.systembolaget.se/produkt/sprit/glenfiddich-44001/","https://www.systembolaget.se/produkt/sprit/glenfiddich-44001/")</f>
        <v>https://www.systembolaget.se/produkt/sprit/glenfiddich-44001/</v>
      </c>
      <c r="J479" s="1">
        <v>6.26</v>
      </c>
      <c r="K479" s="1">
        <v>6.26</v>
      </c>
      <c r="L479" s="2">
        <v>45389</v>
      </c>
      <c r="M479" s="1" t="s">
        <v>1772</v>
      </c>
      <c r="N479" s="1">
        <v>0.62</v>
      </c>
      <c r="O479" s="1">
        <v>700</v>
      </c>
      <c r="P479" s="1">
        <v>40</v>
      </c>
      <c r="Q479" s="1" t="s">
        <v>308</v>
      </c>
      <c r="R479" s="1" t="s">
        <v>309</v>
      </c>
      <c r="S479" s="1" t="s">
        <v>318</v>
      </c>
      <c r="T479" s="1"/>
      <c r="U479" s="1" t="s">
        <v>253</v>
      </c>
      <c r="V479" s="1" t="s">
        <v>254</v>
      </c>
      <c r="W479" s="1" t="s">
        <v>721</v>
      </c>
      <c r="X479" s="1" t="s">
        <v>1773</v>
      </c>
      <c r="Y479" s="1" t="s">
        <v>219</v>
      </c>
      <c r="Z479" s="1" t="s">
        <v>43</v>
      </c>
      <c r="AA479" s="1"/>
      <c r="AB479" s="1" t="s">
        <v>44</v>
      </c>
      <c r="AC479" s="1" t="s">
        <v>90</v>
      </c>
      <c r="AD479" s="1" t="s">
        <v>43</v>
      </c>
      <c r="AE479" s="1" t="s">
        <v>43</v>
      </c>
      <c r="AF479" s="1">
        <v>2</v>
      </c>
      <c r="AG479" s="1" t="s">
        <v>43</v>
      </c>
      <c r="AH479" s="2">
        <v>34243</v>
      </c>
    </row>
    <row r="480" spans="1:34" x14ac:dyDescent="0.3">
      <c r="A480" s="1">
        <v>5986109</v>
      </c>
      <c r="B480" s="1">
        <v>6.25</v>
      </c>
      <c r="C480" s="1">
        <v>6000</v>
      </c>
      <c r="D480" s="1">
        <v>6400</v>
      </c>
      <c r="E480" s="1" t="s">
        <v>43</v>
      </c>
      <c r="F480" s="1">
        <v>0</v>
      </c>
      <c r="G480" s="1" t="s">
        <v>1774</v>
      </c>
      <c r="H480" s="1" t="s">
        <v>52</v>
      </c>
      <c r="I480" s="1" t="str">
        <f>HYPERLINK("https://www.systembolaget.se/produkt/vin/xavier-vignon-arcane-premium-lada-x10-5986109/","https://www.systembolaget.se/produkt/vin/xavier-vignon-arcane-premium-lada-x10-5986109/")</f>
        <v>https://www.systembolaget.se/produkt/vin/xavier-vignon-arcane-premium-lada-x10-5986109/</v>
      </c>
      <c r="J480" s="1">
        <v>14.16</v>
      </c>
      <c r="K480" s="1">
        <v>6.25</v>
      </c>
      <c r="L480" s="2">
        <v>45389</v>
      </c>
      <c r="M480" s="1" t="s">
        <v>1775</v>
      </c>
      <c r="N480" s="1">
        <v>0.19</v>
      </c>
      <c r="O480" s="1">
        <v>7500</v>
      </c>
      <c r="P480" s="1">
        <v>14.8</v>
      </c>
      <c r="Q480" s="1" t="s">
        <v>38</v>
      </c>
      <c r="R480" s="1" t="s">
        <v>670</v>
      </c>
      <c r="S480" s="1"/>
      <c r="T480" s="1"/>
      <c r="U480" s="1" t="s">
        <v>101</v>
      </c>
      <c r="V480" s="1" t="s">
        <v>474</v>
      </c>
      <c r="W480" s="1"/>
      <c r="X480" s="1" t="s">
        <v>1776</v>
      </c>
      <c r="Y480" s="1" t="s">
        <v>423</v>
      </c>
      <c r="Z480" s="1" t="s">
        <v>43</v>
      </c>
      <c r="AA480" s="1"/>
      <c r="AB480" s="1" t="s">
        <v>1777</v>
      </c>
      <c r="AC480" s="1" t="s">
        <v>45</v>
      </c>
      <c r="AD480" s="1" t="s">
        <v>43</v>
      </c>
      <c r="AE480" s="1" t="s">
        <v>43</v>
      </c>
      <c r="AF480" s="1"/>
      <c r="AG480" s="1" t="s">
        <v>43</v>
      </c>
      <c r="AH480" s="2">
        <v>45236</v>
      </c>
    </row>
    <row r="481" spans="1:34" x14ac:dyDescent="0.3">
      <c r="A481" s="1">
        <v>7657701</v>
      </c>
      <c r="B481" s="1">
        <v>6.25</v>
      </c>
      <c r="C481" s="1">
        <v>7499</v>
      </c>
      <c r="D481" s="1">
        <v>7999</v>
      </c>
      <c r="E481" s="1" t="s">
        <v>459</v>
      </c>
      <c r="F481" s="1">
        <v>0</v>
      </c>
      <c r="G481" s="1" t="s">
        <v>722</v>
      </c>
      <c r="H481" s="1" t="s">
        <v>723</v>
      </c>
      <c r="I481" s="1" t="str">
        <f>HYPERLINK("https://www.systembolaget.se/produkt/vin/chambertin-grand-cru-7657701/","https://www.systembolaget.se/produkt/vin/chambertin-grand-cru-7657701/")</f>
        <v>https://www.systembolaget.se/produkt/vin/chambertin-grand-cru-7657701/</v>
      </c>
      <c r="J481" s="1">
        <v>6.25</v>
      </c>
      <c r="K481" s="1">
        <v>6.25</v>
      </c>
      <c r="L481" s="2">
        <v>45389</v>
      </c>
      <c r="M481" s="1" t="s">
        <v>1778</v>
      </c>
      <c r="N481" s="1">
        <v>0.01</v>
      </c>
      <c r="O481" s="1">
        <v>750</v>
      </c>
      <c r="P481" s="1">
        <v>13.5</v>
      </c>
      <c r="Q481" s="1" t="s">
        <v>38</v>
      </c>
      <c r="R481" s="1" t="s">
        <v>52</v>
      </c>
      <c r="S481" s="1"/>
      <c r="T481" s="1"/>
      <c r="U481" s="1" t="s">
        <v>101</v>
      </c>
      <c r="V481" s="1" t="s">
        <v>142</v>
      </c>
      <c r="W481" s="1" t="s">
        <v>725</v>
      </c>
      <c r="X481" s="1" t="s">
        <v>723</v>
      </c>
      <c r="Y481" s="1" t="s">
        <v>678</v>
      </c>
      <c r="Z481" s="1" t="s">
        <v>46</v>
      </c>
      <c r="AA481" s="1">
        <v>2019</v>
      </c>
      <c r="AB481" s="1" t="s">
        <v>44</v>
      </c>
      <c r="AC481" s="1" t="s">
        <v>45</v>
      </c>
      <c r="AD481" s="1" t="s">
        <v>43</v>
      </c>
      <c r="AE481" s="1" t="s">
        <v>43</v>
      </c>
      <c r="AF481" s="1"/>
      <c r="AG481" s="1" t="s">
        <v>43</v>
      </c>
      <c r="AH481" s="2">
        <v>45271</v>
      </c>
    </row>
    <row r="482" spans="1:34" x14ac:dyDescent="0.3">
      <c r="A482" s="1">
        <v>741002</v>
      </c>
      <c r="B482" s="1">
        <v>6.12</v>
      </c>
      <c r="C482" s="1">
        <v>92</v>
      </c>
      <c r="D482" s="1">
        <v>98</v>
      </c>
      <c r="E482" s="1" t="s">
        <v>43</v>
      </c>
      <c r="F482" s="1">
        <v>0</v>
      </c>
      <c r="G482" s="1" t="s">
        <v>1779</v>
      </c>
      <c r="H482" s="1"/>
      <c r="I482" s="1" t="str">
        <f>HYPERLINK("https://www.systembolaget.se/produkt/vin/dopff-brut-cuvee-julien-741002/","https://www.systembolaget.se/produkt/vin/dopff-brut-cuvee-julien-741002/")</f>
        <v>https://www.systembolaget.se/produkt/vin/dopff-brut-cuvee-julien-741002/</v>
      </c>
      <c r="J482" s="1">
        <v>3.16</v>
      </c>
      <c r="K482" s="1">
        <v>6.12</v>
      </c>
      <c r="L482" s="2">
        <v>45389</v>
      </c>
      <c r="M482" s="1" t="s">
        <v>1780</v>
      </c>
      <c r="N482" s="1">
        <v>0.49</v>
      </c>
      <c r="O482" s="1">
        <v>375</v>
      </c>
      <c r="P482" s="1">
        <v>12</v>
      </c>
      <c r="Q482" s="1" t="s">
        <v>38</v>
      </c>
      <c r="R482" s="1" t="s">
        <v>61</v>
      </c>
      <c r="S482" s="1" t="s">
        <v>68</v>
      </c>
      <c r="T482" s="1"/>
      <c r="U482" s="1" t="s">
        <v>101</v>
      </c>
      <c r="V482" s="1" t="s">
        <v>223</v>
      </c>
      <c r="W482" s="1" t="s">
        <v>1781</v>
      </c>
      <c r="X482" s="1" t="s">
        <v>1782</v>
      </c>
      <c r="Y482" s="1" t="s">
        <v>407</v>
      </c>
      <c r="Z482" s="1" t="s">
        <v>43</v>
      </c>
      <c r="AA482" s="1"/>
      <c r="AB482" s="1" t="s">
        <v>44</v>
      </c>
      <c r="AC482" s="1" t="s">
        <v>90</v>
      </c>
      <c r="AD482" s="1" t="s">
        <v>43</v>
      </c>
      <c r="AE482" s="1" t="s">
        <v>43</v>
      </c>
      <c r="AF482" s="1">
        <v>7</v>
      </c>
      <c r="AG482" s="1" t="s">
        <v>43</v>
      </c>
      <c r="AH482" s="2">
        <v>33056</v>
      </c>
    </row>
    <row r="483" spans="1:34" x14ac:dyDescent="0.3">
      <c r="A483" s="1">
        <v>7497601</v>
      </c>
      <c r="B483" s="1">
        <v>6.08</v>
      </c>
      <c r="C483" s="1">
        <v>649</v>
      </c>
      <c r="D483" s="1">
        <v>691</v>
      </c>
      <c r="E483" s="1" t="s">
        <v>43</v>
      </c>
      <c r="F483" s="1">
        <v>0</v>
      </c>
      <c r="G483" s="1" t="s">
        <v>1439</v>
      </c>
      <c r="H483" s="1" t="s">
        <v>1783</v>
      </c>
      <c r="I483" s="1" t="str">
        <f>HYPERLINK("https://www.systembolaget.se/produkt/vin/martin-muthenthaler-7497601/","https://www.systembolaget.se/produkt/vin/martin-muthenthaler-7497601/")</f>
        <v>https://www.systembolaget.se/produkt/vin/martin-muthenthaler-7497601/</v>
      </c>
      <c r="J483" s="1">
        <v>5.94</v>
      </c>
      <c r="K483" s="1">
        <v>6.08</v>
      </c>
      <c r="L483" s="2">
        <v>45971</v>
      </c>
      <c r="M483" s="1" t="s">
        <v>1784</v>
      </c>
      <c r="N483" s="1">
        <v>0.15</v>
      </c>
      <c r="O483" s="1">
        <v>750</v>
      </c>
      <c r="P483" s="1">
        <v>13</v>
      </c>
      <c r="Q483" s="1" t="s">
        <v>38</v>
      </c>
      <c r="R483" s="1" t="s">
        <v>39</v>
      </c>
      <c r="S483" s="1"/>
      <c r="T483" s="1"/>
      <c r="U483" s="1" t="s">
        <v>295</v>
      </c>
      <c r="V483" s="1" t="s">
        <v>296</v>
      </c>
      <c r="W483" s="1" t="s">
        <v>1442</v>
      </c>
      <c r="X483" s="1" t="s">
        <v>1439</v>
      </c>
      <c r="Y483" s="1" t="s">
        <v>905</v>
      </c>
      <c r="Z483" s="1" t="s">
        <v>43</v>
      </c>
      <c r="AA483" s="1">
        <v>2022</v>
      </c>
      <c r="AB483" s="1" t="s">
        <v>44</v>
      </c>
      <c r="AC483" s="1" t="s">
        <v>45</v>
      </c>
      <c r="AD483" s="1" t="s">
        <v>43</v>
      </c>
      <c r="AE483" s="1" t="s">
        <v>43</v>
      </c>
      <c r="AF483" s="1"/>
      <c r="AG483" s="1" t="s">
        <v>43</v>
      </c>
      <c r="AH483" s="2">
        <v>45978</v>
      </c>
    </row>
    <row r="484" spans="1:34" x14ac:dyDescent="0.3">
      <c r="A484" s="1">
        <v>7552306</v>
      </c>
      <c r="B484" s="1">
        <v>6.06</v>
      </c>
      <c r="C484" s="1">
        <v>15499</v>
      </c>
      <c r="D484" s="1">
        <v>16499</v>
      </c>
      <c r="E484" s="1" t="s">
        <v>43</v>
      </c>
      <c r="F484" s="1">
        <v>0</v>
      </c>
      <c r="G484" s="1" t="s">
        <v>722</v>
      </c>
      <c r="H484" s="1" t="s">
        <v>723</v>
      </c>
      <c r="I484" s="1" t="str">
        <f>HYPERLINK("https://www.systembolaget.se/produkt/vin/chambertin-grand-cru-7552306/","https://www.systembolaget.se/produkt/vin/chambertin-grand-cru-7552306/")</f>
        <v>https://www.systembolaget.se/produkt/vin/chambertin-grand-cru-7552306/</v>
      </c>
      <c r="J484" s="1">
        <v>6.06</v>
      </c>
      <c r="K484" s="1">
        <v>6.06</v>
      </c>
      <c r="L484" s="2">
        <v>45389</v>
      </c>
      <c r="M484" s="1" t="s">
        <v>1785</v>
      </c>
      <c r="N484" s="1">
        <v>0.01</v>
      </c>
      <c r="O484" s="1">
        <v>1500</v>
      </c>
      <c r="P484" s="1">
        <v>13</v>
      </c>
      <c r="Q484" s="1" t="s">
        <v>38</v>
      </c>
      <c r="R484" s="1" t="s">
        <v>52</v>
      </c>
      <c r="S484" s="1"/>
      <c r="T484" s="1"/>
      <c r="U484" s="1" t="s">
        <v>101</v>
      </c>
      <c r="V484" s="1" t="s">
        <v>142</v>
      </c>
      <c r="W484" s="1" t="s">
        <v>725</v>
      </c>
      <c r="X484" s="1" t="s">
        <v>723</v>
      </c>
      <c r="Y484" s="1" t="s">
        <v>678</v>
      </c>
      <c r="Z484" s="1" t="s">
        <v>46</v>
      </c>
      <c r="AA484" s="1">
        <v>2019</v>
      </c>
      <c r="AB484" s="1" t="s">
        <v>77</v>
      </c>
      <c r="AC484" s="1" t="s">
        <v>45</v>
      </c>
      <c r="AD484" s="1" t="s">
        <v>43</v>
      </c>
      <c r="AE484" s="1" t="s">
        <v>43</v>
      </c>
      <c r="AF484" s="1"/>
      <c r="AG484" s="1" t="s">
        <v>43</v>
      </c>
      <c r="AH484" s="2">
        <v>45271</v>
      </c>
    </row>
    <row r="485" spans="1:34" x14ac:dyDescent="0.3">
      <c r="A485" s="1">
        <v>58201</v>
      </c>
      <c r="B485" s="1">
        <v>6.01</v>
      </c>
      <c r="C485" s="1">
        <v>469</v>
      </c>
      <c r="D485" s="1">
        <v>499</v>
      </c>
      <c r="E485" s="1" t="s">
        <v>43</v>
      </c>
      <c r="F485" s="1">
        <v>0</v>
      </c>
      <c r="G485" s="1" t="s">
        <v>1786</v>
      </c>
      <c r="H485" s="1" t="s">
        <v>1787</v>
      </c>
      <c r="I485" s="1" t="str">
        <f>HYPERLINK("https://www.systembolaget.se/produkt/sprit/beauchamp-58201/","https://www.systembolaget.se/produkt/sprit/beauchamp-58201/")</f>
        <v>https://www.systembolaget.se/produkt/sprit/beauchamp-58201/</v>
      </c>
      <c r="J485" s="1">
        <v>6.01</v>
      </c>
      <c r="K485" s="1">
        <v>6.01</v>
      </c>
      <c r="L485" s="2">
        <v>45534</v>
      </c>
      <c r="M485" s="1" t="s">
        <v>1788</v>
      </c>
      <c r="N485" s="1">
        <v>0.69</v>
      </c>
      <c r="O485" s="1">
        <v>700</v>
      </c>
      <c r="P485" s="1">
        <v>46</v>
      </c>
      <c r="Q485" s="1" t="s">
        <v>308</v>
      </c>
      <c r="R485" s="1" t="s">
        <v>309</v>
      </c>
      <c r="S485" s="1" t="s">
        <v>318</v>
      </c>
      <c r="T485" s="1"/>
      <c r="U485" s="1" t="s">
        <v>101</v>
      </c>
      <c r="V485" s="1"/>
      <c r="W485" s="1"/>
      <c r="X485" s="1" t="s">
        <v>1789</v>
      </c>
      <c r="Y485" s="1" t="s">
        <v>980</v>
      </c>
      <c r="Z485" s="1" t="s">
        <v>43</v>
      </c>
      <c r="AA485" s="1"/>
      <c r="AB485" s="1" t="s">
        <v>44</v>
      </c>
      <c r="AC485" s="1" t="s">
        <v>45</v>
      </c>
      <c r="AD485" s="1" t="s">
        <v>43</v>
      </c>
      <c r="AE485" s="1" t="s">
        <v>43</v>
      </c>
      <c r="AF485" s="1">
        <v>2</v>
      </c>
      <c r="AG485" s="1" t="s">
        <v>43</v>
      </c>
      <c r="AH485" s="2">
        <v>45444</v>
      </c>
    </row>
    <row r="486" spans="1:34" x14ac:dyDescent="0.3">
      <c r="A486" s="1">
        <v>8407502</v>
      </c>
      <c r="B486" s="1">
        <v>6</v>
      </c>
      <c r="C486" s="1">
        <v>329</v>
      </c>
      <c r="D486" s="1">
        <v>350</v>
      </c>
      <c r="E486" s="1" t="s">
        <v>43</v>
      </c>
      <c r="F486" s="1">
        <v>0</v>
      </c>
      <c r="G486" s="1" t="s">
        <v>1790</v>
      </c>
      <c r="H486" s="1" t="s">
        <v>1791</v>
      </c>
      <c r="I486" s="1" t="str">
        <f>HYPERLINK("https://www.systembolaget.se/produkt/sprit/skanska-spritfabriken-8407502/","https://www.systembolaget.se/produkt/sprit/skanska-spritfabriken-8407502/")</f>
        <v>https://www.systembolaget.se/produkt/sprit/skanska-spritfabriken-8407502/</v>
      </c>
      <c r="J486" s="1">
        <v>5.73</v>
      </c>
      <c r="K486" s="1">
        <v>6</v>
      </c>
      <c r="L486" s="2">
        <v>45589</v>
      </c>
      <c r="M486" s="1" t="s">
        <v>1792</v>
      </c>
      <c r="N486" s="1">
        <v>0.61</v>
      </c>
      <c r="O486" s="1">
        <v>500</v>
      </c>
      <c r="P486" s="1">
        <v>40</v>
      </c>
      <c r="Q486" s="1" t="s">
        <v>308</v>
      </c>
      <c r="R486" s="1" t="s">
        <v>487</v>
      </c>
      <c r="S486" s="1" t="s">
        <v>488</v>
      </c>
      <c r="T486" s="1"/>
      <c r="U486" s="1" t="s">
        <v>110</v>
      </c>
      <c r="V486" s="1" t="s">
        <v>694</v>
      </c>
      <c r="W486" s="1" t="s">
        <v>878</v>
      </c>
      <c r="X486" s="1" t="s">
        <v>1790</v>
      </c>
      <c r="Y486" s="1" t="s">
        <v>1790</v>
      </c>
      <c r="Z486" s="1" t="s">
        <v>43</v>
      </c>
      <c r="AA486" s="1"/>
      <c r="AB486" s="1" t="s">
        <v>77</v>
      </c>
      <c r="AC486" s="1" t="s">
        <v>115</v>
      </c>
      <c r="AD486" s="1" t="s">
        <v>43</v>
      </c>
      <c r="AE486" s="1" t="s">
        <v>43</v>
      </c>
      <c r="AF486" s="1">
        <v>2</v>
      </c>
      <c r="AG486" s="1" t="s">
        <v>43</v>
      </c>
      <c r="AH486" s="2">
        <v>45782</v>
      </c>
    </row>
    <row r="487" spans="1:34" x14ac:dyDescent="0.3">
      <c r="A487" s="1">
        <v>3243002</v>
      </c>
      <c r="B487" s="1">
        <v>5.97</v>
      </c>
      <c r="C487" s="1">
        <v>189</v>
      </c>
      <c r="D487" s="1">
        <v>201</v>
      </c>
      <c r="E487" s="1" t="s">
        <v>43</v>
      </c>
      <c r="F487" s="1">
        <v>0</v>
      </c>
      <c r="G487" s="1" t="s">
        <v>1793</v>
      </c>
      <c r="H487" s="1" t="s">
        <v>1794</v>
      </c>
      <c r="I487" s="1" t="str">
        <f>HYPERLINK("https://www.systembolaget.se/produkt/sprit/sjobrinkens-3243002/","https://www.systembolaget.se/produkt/sprit/sjobrinkens-3243002/")</f>
        <v>https://www.systembolaget.se/produkt/sprit/sjobrinkens-3243002/</v>
      </c>
      <c r="J487" s="1">
        <v>14.48</v>
      </c>
      <c r="K487" s="1">
        <v>5.97</v>
      </c>
      <c r="L487" s="2">
        <v>45887</v>
      </c>
      <c r="M487" s="1" t="s">
        <v>1795</v>
      </c>
      <c r="N487" s="1">
        <v>0.52</v>
      </c>
      <c r="O487" s="1">
        <v>500</v>
      </c>
      <c r="P487" s="1">
        <v>19.5</v>
      </c>
      <c r="Q487" s="1" t="s">
        <v>308</v>
      </c>
      <c r="R487" s="1" t="s">
        <v>378</v>
      </c>
      <c r="S487" s="1" t="s">
        <v>379</v>
      </c>
      <c r="T487" s="1"/>
      <c r="U487" s="1" t="s">
        <v>110</v>
      </c>
      <c r="V487" s="1" t="s">
        <v>380</v>
      </c>
      <c r="W487" s="1" t="s">
        <v>381</v>
      </c>
      <c r="X487" s="1" t="s">
        <v>382</v>
      </c>
      <c r="Y487" s="1" t="s">
        <v>382</v>
      </c>
      <c r="Z487" s="1" t="s">
        <v>43</v>
      </c>
      <c r="AA487" s="1"/>
      <c r="AB487" s="1" t="s">
        <v>44</v>
      </c>
      <c r="AC487" s="1" t="s">
        <v>115</v>
      </c>
      <c r="AD487" s="1" t="s">
        <v>43</v>
      </c>
      <c r="AE487" s="1" t="s">
        <v>43</v>
      </c>
      <c r="AF487" s="1">
        <v>94</v>
      </c>
      <c r="AG487" s="1" t="s">
        <v>43</v>
      </c>
      <c r="AH487" s="2">
        <v>45908</v>
      </c>
    </row>
    <row r="488" spans="1:34" x14ac:dyDescent="0.3">
      <c r="A488" s="1">
        <v>5392001</v>
      </c>
      <c r="B488" s="1">
        <v>5.97</v>
      </c>
      <c r="C488" s="1">
        <v>598</v>
      </c>
      <c r="D488" s="1">
        <v>636</v>
      </c>
      <c r="E488" s="1" t="s">
        <v>43</v>
      </c>
      <c r="F488" s="1">
        <v>0</v>
      </c>
      <c r="G488" s="1" t="s">
        <v>1796</v>
      </c>
      <c r="H488" s="1"/>
      <c r="I488" s="1" t="str">
        <f>HYPERLINK("https://www.systembolaget.se/produkt/sprit/limoncello-di-quaglia-5392001/","https://www.systembolaget.se/produkt/sprit/limoncello-di-quaglia-5392001/")</f>
        <v>https://www.systembolaget.se/produkt/sprit/limoncello-di-quaglia-5392001/</v>
      </c>
      <c r="J488" s="1">
        <v>-22.79</v>
      </c>
      <c r="K488" s="1">
        <v>5.97</v>
      </c>
      <c r="L488" s="2">
        <v>45467</v>
      </c>
      <c r="M488" s="1" t="s">
        <v>1797</v>
      </c>
      <c r="N488" s="1">
        <v>0.33</v>
      </c>
      <c r="O488" s="1">
        <v>700</v>
      </c>
      <c r="P488" s="1">
        <v>28</v>
      </c>
      <c r="Q488" s="1" t="s">
        <v>308</v>
      </c>
      <c r="R488" s="1" t="s">
        <v>378</v>
      </c>
      <c r="S488" s="1" t="s">
        <v>379</v>
      </c>
      <c r="T488" s="1"/>
      <c r="U488" s="1" t="s">
        <v>53</v>
      </c>
      <c r="V488" s="1"/>
      <c r="W488" s="1"/>
      <c r="X488" s="1" t="s">
        <v>1798</v>
      </c>
      <c r="Y488" s="1" t="s">
        <v>1006</v>
      </c>
      <c r="Z488" s="1" t="s">
        <v>43</v>
      </c>
      <c r="AA488" s="1"/>
      <c r="AB488" s="1" t="s">
        <v>44</v>
      </c>
      <c r="AC488" s="1" t="s">
        <v>45</v>
      </c>
      <c r="AD488" s="1" t="s">
        <v>43</v>
      </c>
      <c r="AE488" s="1" t="s">
        <v>43</v>
      </c>
      <c r="AF488" s="1"/>
      <c r="AG488" s="1" t="s">
        <v>43</v>
      </c>
      <c r="AH488" s="2">
        <v>44480</v>
      </c>
    </row>
    <row r="489" spans="1:34" x14ac:dyDescent="0.3">
      <c r="A489" s="1">
        <v>202715</v>
      </c>
      <c r="B489" s="1">
        <v>5.95</v>
      </c>
      <c r="C489" s="1">
        <v>79</v>
      </c>
      <c r="D489" s="1">
        <v>84</v>
      </c>
      <c r="E489" s="1" t="s">
        <v>43</v>
      </c>
      <c r="F489" s="1">
        <v>0</v>
      </c>
      <c r="G489" s="1" t="s">
        <v>1799</v>
      </c>
      <c r="H489" s="1" t="s">
        <v>770</v>
      </c>
      <c r="I489" s="1" t="str">
        <f>HYPERLINK("https://www.systembolaget.se/produkt/vin/les-frondeurs-202715/","https://www.systembolaget.se/produkt/vin/les-frondeurs-202715/")</f>
        <v>https://www.systembolaget.se/produkt/vin/les-frondeurs-202715/</v>
      </c>
      <c r="J489" s="1">
        <v>0</v>
      </c>
      <c r="K489" s="1">
        <v>5.95</v>
      </c>
      <c r="L489" s="2">
        <v>45696</v>
      </c>
      <c r="M489" s="1" t="s">
        <v>1800</v>
      </c>
      <c r="N489" s="1">
        <v>0.85</v>
      </c>
      <c r="O489" s="1">
        <v>500</v>
      </c>
      <c r="P489" s="1">
        <v>13.5</v>
      </c>
      <c r="Q489" s="1" t="s">
        <v>38</v>
      </c>
      <c r="R489" s="1" t="s">
        <v>52</v>
      </c>
      <c r="S489" s="1" t="s">
        <v>84</v>
      </c>
      <c r="T489" s="1"/>
      <c r="U489" s="1" t="s">
        <v>101</v>
      </c>
      <c r="V489" s="1" t="s">
        <v>568</v>
      </c>
      <c r="W489" s="1" t="s">
        <v>770</v>
      </c>
      <c r="X489" s="1" t="s">
        <v>1801</v>
      </c>
      <c r="Y489" s="1" t="s">
        <v>145</v>
      </c>
      <c r="Z489" s="1" t="s">
        <v>43</v>
      </c>
      <c r="AA489" s="1">
        <v>2023</v>
      </c>
      <c r="AB489" s="1" t="s">
        <v>114</v>
      </c>
      <c r="AC489" s="1" t="s">
        <v>90</v>
      </c>
      <c r="AD489" s="1" t="s">
        <v>43</v>
      </c>
      <c r="AE489" s="1" t="s">
        <v>43</v>
      </c>
      <c r="AF489" s="1">
        <v>2</v>
      </c>
      <c r="AG489" s="1" t="s">
        <v>43</v>
      </c>
      <c r="AH489" s="2">
        <v>45717</v>
      </c>
    </row>
    <row r="490" spans="1:34" x14ac:dyDescent="0.3">
      <c r="A490" s="1">
        <v>645201</v>
      </c>
      <c r="B490" s="1">
        <v>5.95</v>
      </c>
      <c r="C490" s="1">
        <v>79</v>
      </c>
      <c r="D490" s="1">
        <v>84</v>
      </c>
      <c r="E490" s="1" t="s">
        <v>43</v>
      </c>
      <c r="F490" s="1">
        <v>0</v>
      </c>
      <c r="G490" s="1" t="s">
        <v>1802</v>
      </c>
      <c r="H490" s="1" t="s">
        <v>62</v>
      </c>
      <c r="I490" s="1" t="str">
        <f>HYPERLINK("https://www.systembolaget.se/produkt/vin/aussie-flamingo-blush-645201/","https://www.systembolaget.se/produkt/vin/aussie-flamingo-blush-645201/")</f>
        <v>https://www.systembolaget.se/produkt/vin/aussie-flamingo-blush-645201/</v>
      </c>
      <c r="J490" s="1">
        <v>4.82</v>
      </c>
      <c r="K490" s="1">
        <v>5.95</v>
      </c>
      <c r="L490" s="2">
        <v>45476</v>
      </c>
      <c r="M490" s="1" t="s">
        <v>1803</v>
      </c>
      <c r="N490" s="1">
        <v>1.58</v>
      </c>
      <c r="O490" s="1">
        <v>1000</v>
      </c>
      <c r="P490" s="1">
        <v>12.5</v>
      </c>
      <c r="Q490" s="1" t="s">
        <v>38</v>
      </c>
      <c r="R490" s="1" t="s">
        <v>80</v>
      </c>
      <c r="S490" s="1" t="s">
        <v>84</v>
      </c>
      <c r="T490" s="1"/>
      <c r="U490" s="1" t="s">
        <v>149</v>
      </c>
      <c r="V490" s="1"/>
      <c r="W490" s="1"/>
      <c r="X490" s="1" t="s">
        <v>495</v>
      </c>
      <c r="Y490" s="1" t="s">
        <v>496</v>
      </c>
      <c r="Z490" s="1" t="s">
        <v>43</v>
      </c>
      <c r="AA490" s="1"/>
      <c r="AB490" s="1" t="s">
        <v>1709</v>
      </c>
      <c r="AC490" s="1" t="s">
        <v>90</v>
      </c>
      <c r="AD490" s="1" t="s">
        <v>43</v>
      </c>
      <c r="AE490" s="1" t="s">
        <v>43</v>
      </c>
      <c r="AF490" s="1">
        <v>7</v>
      </c>
      <c r="AG490" s="1" t="s">
        <v>43</v>
      </c>
      <c r="AH490" s="2">
        <v>38992</v>
      </c>
    </row>
    <row r="491" spans="1:34" x14ac:dyDescent="0.3">
      <c r="A491" s="1">
        <v>250101</v>
      </c>
      <c r="B491" s="1">
        <v>5.92</v>
      </c>
      <c r="C491" s="1">
        <v>159</v>
      </c>
      <c r="D491" s="1">
        <v>169</v>
      </c>
      <c r="E491" s="1" t="s">
        <v>43</v>
      </c>
      <c r="F491" s="1">
        <v>0</v>
      </c>
      <c r="G491" s="1" t="s">
        <v>1804</v>
      </c>
      <c r="H491" s="1" t="s">
        <v>82</v>
      </c>
      <c r="I491" s="1" t="str">
        <f>HYPERLINK("https://www.systembolaget.se/produkt/vin/el-esteco-250101/","https://www.systembolaget.se/produkt/vin/el-esteco-250101/")</f>
        <v>https://www.systembolaget.se/produkt/vin/el-esteco-250101/</v>
      </c>
      <c r="J491" s="1">
        <v>5.92</v>
      </c>
      <c r="K491" s="1">
        <v>5.92</v>
      </c>
      <c r="L491" s="2">
        <v>45420</v>
      </c>
      <c r="M491" s="1" t="s">
        <v>1805</v>
      </c>
      <c r="N491" s="1">
        <v>0.68</v>
      </c>
      <c r="O491" s="1">
        <v>750</v>
      </c>
      <c r="P491" s="1">
        <v>14.5</v>
      </c>
      <c r="Q491" s="1" t="s">
        <v>38</v>
      </c>
      <c r="R491" s="1" t="s">
        <v>52</v>
      </c>
      <c r="S491" s="1" t="s">
        <v>84</v>
      </c>
      <c r="T491" s="1"/>
      <c r="U491" s="1" t="s">
        <v>85</v>
      </c>
      <c r="V491" s="1" t="s">
        <v>1806</v>
      </c>
      <c r="W491" s="1" t="s">
        <v>1807</v>
      </c>
      <c r="X491" s="1" t="s">
        <v>1804</v>
      </c>
      <c r="Y491" s="1" t="s">
        <v>285</v>
      </c>
      <c r="Z491" s="1" t="s">
        <v>43</v>
      </c>
      <c r="AA491" s="1">
        <v>2024</v>
      </c>
      <c r="AB491" s="1" t="s">
        <v>44</v>
      </c>
      <c r="AC491" s="1" t="s">
        <v>90</v>
      </c>
      <c r="AD491" s="1" t="s">
        <v>43</v>
      </c>
      <c r="AE491" s="1" t="s">
        <v>43</v>
      </c>
      <c r="AF491" s="1">
        <v>2</v>
      </c>
      <c r="AG491" s="1" t="s">
        <v>46</v>
      </c>
      <c r="AH491" s="2">
        <v>44075</v>
      </c>
    </row>
    <row r="492" spans="1:34" x14ac:dyDescent="0.3">
      <c r="A492" s="1">
        <v>5194901</v>
      </c>
      <c r="B492" s="1">
        <v>5.92</v>
      </c>
      <c r="C492" s="1">
        <v>159</v>
      </c>
      <c r="D492" s="1">
        <v>169</v>
      </c>
      <c r="E492" s="1" t="s">
        <v>43</v>
      </c>
      <c r="F492" s="1">
        <v>0</v>
      </c>
      <c r="G492" s="1" t="s">
        <v>1808</v>
      </c>
      <c r="H492" s="1" t="s">
        <v>597</v>
      </c>
      <c r="I492" s="1" t="str">
        <f>HYPERLINK("https://www.systembolaget.se/produkt/vin/the-high-trellis-5194901/","https://www.systembolaget.se/produkt/vin/the-high-trellis-5194901/")</f>
        <v>https://www.systembolaget.se/produkt/vin/the-high-trellis-5194901/</v>
      </c>
      <c r="J492" s="1">
        <v>5.92</v>
      </c>
      <c r="K492" s="1">
        <v>5.92</v>
      </c>
      <c r="L492" s="2">
        <v>45389</v>
      </c>
      <c r="M492" s="1" t="s">
        <v>1805</v>
      </c>
      <c r="N492" s="1">
        <v>0.68</v>
      </c>
      <c r="O492" s="1">
        <v>750</v>
      </c>
      <c r="P492" s="1">
        <v>14.5</v>
      </c>
      <c r="Q492" s="1" t="s">
        <v>38</v>
      </c>
      <c r="R492" s="1" t="s">
        <v>52</v>
      </c>
      <c r="S492" s="1"/>
      <c r="T492" s="1"/>
      <c r="U492" s="1" t="s">
        <v>149</v>
      </c>
      <c r="V492" s="1" t="s">
        <v>150</v>
      </c>
      <c r="W492" s="1" t="s">
        <v>1341</v>
      </c>
      <c r="X492" s="1" t="s">
        <v>1342</v>
      </c>
      <c r="Y492" s="1" t="s">
        <v>219</v>
      </c>
      <c r="Z492" s="1" t="s">
        <v>43</v>
      </c>
      <c r="AA492" s="1">
        <v>2018</v>
      </c>
      <c r="AB492" s="1" t="s">
        <v>44</v>
      </c>
      <c r="AC492" s="1" t="s">
        <v>45</v>
      </c>
      <c r="AD492" s="1" t="s">
        <v>43</v>
      </c>
      <c r="AE492" s="1" t="s">
        <v>43</v>
      </c>
      <c r="AF492" s="1"/>
      <c r="AG492" s="1" t="s">
        <v>43</v>
      </c>
      <c r="AH492" s="2">
        <v>44320</v>
      </c>
    </row>
    <row r="493" spans="1:34" x14ac:dyDescent="0.3">
      <c r="A493" s="1">
        <v>7989901</v>
      </c>
      <c r="B493" s="1">
        <v>5.92</v>
      </c>
      <c r="C493" s="1">
        <v>159</v>
      </c>
      <c r="D493" s="1">
        <v>169</v>
      </c>
      <c r="E493" s="1" t="s">
        <v>43</v>
      </c>
      <c r="F493" s="1">
        <v>0</v>
      </c>
      <c r="G493" s="1" t="s">
        <v>1809</v>
      </c>
      <c r="H493" s="1" t="s">
        <v>1810</v>
      </c>
      <c r="I493" s="1" t="str">
        <f>HYPERLINK("https://www.systembolaget.se/produkt/vin/vinos-valtuille-7989901/","https://www.systembolaget.se/produkt/vin/vinos-valtuille-7989901/")</f>
        <v>https://www.systembolaget.se/produkt/vin/vinos-valtuille-7989901/</v>
      </c>
      <c r="J493" s="1"/>
      <c r="K493" s="1">
        <v>5.92</v>
      </c>
      <c r="L493" s="2">
        <v>46125</v>
      </c>
      <c r="M493" s="1" t="s">
        <v>1805</v>
      </c>
      <c r="N493" s="1">
        <v>0.64</v>
      </c>
      <c r="O493" s="1">
        <v>750</v>
      </c>
      <c r="P493" s="1">
        <v>13.5</v>
      </c>
      <c r="Q493" s="1" t="s">
        <v>38</v>
      </c>
      <c r="R493" s="1" t="s">
        <v>52</v>
      </c>
      <c r="S493" s="1"/>
      <c r="T493" s="1"/>
      <c r="U493" s="1" t="s">
        <v>164</v>
      </c>
      <c r="V493" s="1" t="s">
        <v>1811</v>
      </c>
      <c r="W493" s="1" t="s">
        <v>1812</v>
      </c>
      <c r="X493" s="1" t="s">
        <v>1809</v>
      </c>
      <c r="Y493" s="1" t="s">
        <v>479</v>
      </c>
      <c r="Z493" s="1" t="s">
        <v>43</v>
      </c>
      <c r="AA493" s="1">
        <v>2024</v>
      </c>
      <c r="AB493" s="1" t="s">
        <v>44</v>
      </c>
      <c r="AC493" s="1" t="s">
        <v>45</v>
      </c>
      <c r="AD493" s="1" t="s">
        <v>43</v>
      </c>
      <c r="AE493" s="1" t="s">
        <v>43</v>
      </c>
      <c r="AF493" s="1"/>
      <c r="AG493" s="1" t="s">
        <v>43</v>
      </c>
      <c r="AH493" s="2">
        <v>46132</v>
      </c>
    </row>
    <row r="494" spans="1:34" x14ac:dyDescent="0.3">
      <c r="A494" s="1">
        <v>5842701</v>
      </c>
      <c r="B494" s="1">
        <v>5.89</v>
      </c>
      <c r="C494" s="1">
        <v>15990</v>
      </c>
      <c r="D494" s="1">
        <v>16990</v>
      </c>
      <c r="E494" s="1" t="s">
        <v>43</v>
      </c>
      <c r="F494" s="1">
        <v>0</v>
      </c>
      <c r="G494" s="1" t="s">
        <v>1813</v>
      </c>
      <c r="H494" s="1" t="s">
        <v>1814</v>
      </c>
      <c r="I494" s="1" t="str">
        <f>HYPERLINK("https://www.systembolaget.se/produkt/sprit/the-glenturret-5842701/","https://www.systembolaget.se/produkt/sprit/the-glenturret-5842701/")</f>
        <v>https://www.systembolaget.se/produkt/sprit/the-glenturret-5842701/</v>
      </c>
      <c r="J494" s="1">
        <v>15.8</v>
      </c>
      <c r="K494" s="1">
        <v>5.89</v>
      </c>
      <c r="L494" s="2">
        <v>45444</v>
      </c>
      <c r="M494" s="1" t="s">
        <v>1815</v>
      </c>
      <c r="N494" s="1">
        <v>0.02</v>
      </c>
      <c r="O494" s="1">
        <v>700</v>
      </c>
      <c r="P494" s="1">
        <v>42</v>
      </c>
      <c r="Q494" s="1" t="s">
        <v>308</v>
      </c>
      <c r="R494" s="1" t="s">
        <v>309</v>
      </c>
      <c r="S494" s="1" t="s">
        <v>318</v>
      </c>
      <c r="T494" s="1"/>
      <c r="U494" s="1" t="s">
        <v>253</v>
      </c>
      <c r="V494" s="1" t="s">
        <v>254</v>
      </c>
      <c r="W494" s="1"/>
      <c r="X494" s="1" t="s">
        <v>1816</v>
      </c>
      <c r="Y494" s="1" t="s">
        <v>1817</v>
      </c>
      <c r="Z494" s="1" t="s">
        <v>43</v>
      </c>
      <c r="AA494" s="1"/>
      <c r="AB494" s="1" t="s">
        <v>44</v>
      </c>
      <c r="AC494" s="1" t="s">
        <v>45</v>
      </c>
      <c r="AD494" s="1" t="s">
        <v>43</v>
      </c>
      <c r="AE494" s="1" t="s">
        <v>43</v>
      </c>
      <c r="AF494" s="1"/>
      <c r="AG494" s="1" t="s">
        <v>43</v>
      </c>
      <c r="AH494" s="2">
        <v>45175</v>
      </c>
    </row>
    <row r="495" spans="1:34" x14ac:dyDescent="0.3">
      <c r="A495" s="1">
        <v>9217801</v>
      </c>
      <c r="B495" s="1">
        <v>5.88</v>
      </c>
      <c r="C495" s="1">
        <v>7999</v>
      </c>
      <c r="D495" s="1">
        <v>8499</v>
      </c>
      <c r="E495" s="1" t="s">
        <v>43</v>
      </c>
      <c r="F495" s="1">
        <v>0</v>
      </c>
      <c r="G495" s="1" t="s">
        <v>722</v>
      </c>
      <c r="H495" s="1" t="s">
        <v>723</v>
      </c>
      <c r="I495" s="1" t="str">
        <f>HYPERLINK("https://www.systembolaget.se/produkt/vin/chambertin-grand-cru-9217801/","https://www.systembolaget.se/produkt/vin/chambertin-grand-cru-9217801/")</f>
        <v>https://www.systembolaget.se/produkt/vin/chambertin-grand-cru-9217801/</v>
      </c>
      <c r="J495" s="1">
        <v>5.88</v>
      </c>
      <c r="K495" s="1">
        <v>5.88</v>
      </c>
      <c r="L495" s="2">
        <v>45389</v>
      </c>
      <c r="M495" s="1" t="s">
        <v>1818</v>
      </c>
      <c r="N495" s="1">
        <v>0.01</v>
      </c>
      <c r="O495" s="1">
        <v>750</v>
      </c>
      <c r="P495" s="1">
        <v>13</v>
      </c>
      <c r="Q495" s="1" t="s">
        <v>38</v>
      </c>
      <c r="R495" s="1" t="s">
        <v>52</v>
      </c>
      <c r="S495" s="1"/>
      <c r="T495" s="1"/>
      <c r="U495" s="1" t="s">
        <v>101</v>
      </c>
      <c r="V495" s="1" t="s">
        <v>142</v>
      </c>
      <c r="W495" s="1" t="s">
        <v>725</v>
      </c>
      <c r="X495" s="1" t="s">
        <v>723</v>
      </c>
      <c r="Y495" s="1" t="s">
        <v>678</v>
      </c>
      <c r="Z495" s="1" t="s">
        <v>46</v>
      </c>
      <c r="AA495" s="1">
        <v>2020</v>
      </c>
      <c r="AB495" s="1" t="s">
        <v>44</v>
      </c>
      <c r="AC495" s="1" t="s">
        <v>45</v>
      </c>
      <c r="AD495" s="1" t="s">
        <v>43</v>
      </c>
      <c r="AE495" s="1" t="s">
        <v>43</v>
      </c>
      <c r="AF495" s="1"/>
      <c r="AG495" s="1" t="s">
        <v>43</v>
      </c>
      <c r="AH495" s="2">
        <v>45036</v>
      </c>
    </row>
    <row r="496" spans="1:34" x14ac:dyDescent="0.3">
      <c r="A496" s="1">
        <v>3091602</v>
      </c>
      <c r="B496" s="1">
        <v>5.87</v>
      </c>
      <c r="C496" s="1">
        <v>369</v>
      </c>
      <c r="D496" s="1">
        <v>392</v>
      </c>
      <c r="E496" s="1" t="s">
        <v>43</v>
      </c>
      <c r="F496" s="1">
        <v>0</v>
      </c>
      <c r="G496" s="1" t="s">
        <v>320</v>
      </c>
      <c r="H496" s="1" t="s">
        <v>1819</v>
      </c>
      <c r="I496" s="1" t="str">
        <f>HYPERLINK("https://www.systembolaget.se/produkt/sprit/olandsbranneri-3091602/","https://www.systembolaget.se/produkt/sprit/olandsbranneri-3091602/")</f>
        <v>https://www.systembolaget.se/produkt/sprit/olandsbranneri-3091602/</v>
      </c>
      <c r="J496" s="1">
        <v>-1.37</v>
      </c>
      <c r="K496" s="1">
        <v>5.87</v>
      </c>
      <c r="L496" s="2">
        <v>45551</v>
      </c>
      <c r="M496" s="1" t="s">
        <v>1820</v>
      </c>
      <c r="N496" s="1">
        <v>0.6</v>
      </c>
      <c r="O496" s="1">
        <v>500</v>
      </c>
      <c r="P496" s="1">
        <v>44.1</v>
      </c>
      <c r="Q496" s="1" t="s">
        <v>308</v>
      </c>
      <c r="R496" s="1" t="s">
        <v>487</v>
      </c>
      <c r="S496" s="1" t="s">
        <v>488</v>
      </c>
      <c r="T496" s="1"/>
      <c r="U496" s="1" t="s">
        <v>110</v>
      </c>
      <c r="V496" s="1" t="s">
        <v>325</v>
      </c>
      <c r="W496" s="1" t="s">
        <v>326</v>
      </c>
      <c r="X496" s="1" t="s">
        <v>320</v>
      </c>
      <c r="Y496" s="1" t="s">
        <v>327</v>
      </c>
      <c r="Z496" s="1" t="s">
        <v>43</v>
      </c>
      <c r="AA496" s="1"/>
      <c r="AB496" s="1" t="s">
        <v>44</v>
      </c>
      <c r="AC496" s="1" t="s">
        <v>115</v>
      </c>
      <c r="AD496" s="1" t="s">
        <v>46</v>
      </c>
      <c r="AE496" s="1" t="s">
        <v>43</v>
      </c>
      <c r="AF496" s="1">
        <v>2</v>
      </c>
      <c r="AG496" s="1" t="s">
        <v>43</v>
      </c>
      <c r="AH496" s="2">
        <v>45572</v>
      </c>
    </row>
    <row r="497" spans="1:34" x14ac:dyDescent="0.3">
      <c r="A497" s="1">
        <v>107035</v>
      </c>
      <c r="B497" s="1">
        <v>5.86</v>
      </c>
      <c r="C497" s="1">
        <v>20.9</v>
      </c>
      <c r="D497" s="1">
        <v>22.2</v>
      </c>
      <c r="E497" s="1" t="s">
        <v>43</v>
      </c>
      <c r="F497" s="1">
        <v>0</v>
      </c>
      <c r="G497" s="1" t="s">
        <v>1821</v>
      </c>
      <c r="H497" s="1" t="s">
        <v>1822</v>
      </c>
      <c r="I497" s="1" t="str">
        <f>HYPERLINK("https://www.systembolaget.se/produkt/cider-blanddrycker/local-hard-seltzer-107035/","https://www.systembolaget.se/produkt/cider-blanddrycker/local-hard-seltzer-107035/")</f>
        <v>https://www.systembolaget.se/produkt/cider-blanddrycker/local-hard-seltzer-107035/</v>
      </c>
      <c r="J497" s="1"/>
      <c r="K497" s="1">
        <v>5.86</v>
      </c>
      <c r="L497" s="2">
        <v>46106</v>
      </c>
      <c r="M497" s="1" t="s">
        <v>1823</v>
      </c>
      <c r="N497" s="1">
        <v>0.71</v>
      </c>
      <c r="O497" s="1">
        <v>330</v>
      </c>
      <c r="P497" s="1">
        <v>4.5</v>
      </c>
      <c r="Q497" s="1" t="s">
        <v>157</v>
      </c>
      <c r="R497" s="1" t="s">
        <v>663</v>
      </c>
      <c r="S497" s="1" t="s">
        <v>1634</v>
      </c>
      <c r="T497" s="1"/>
      <c r="U497" s="1" t="s">
        <v>1824</v>
      </c>
      <c r="V497" s="1"/>
      <c r="W497" s="1"/>
      <c r="X497" s="1" t="s">
        <v>1825</v>
      </c>
      <c r="Y497" s="1" t="s">
        <v>1337</v>
      </c>
      <c r="Z497" s="1" t="s">
        <v>46</v>
      </c>
      <c r="AA497" s="1"/>
      <c r="AB497" s="1" t="s">
        <v>114</v>
      </c>
      <c r="AC497" s="1" t="s">
        <v>90</v>
      </c>
      <c r="AD497" s="1" t="s">
        <v>43</v>
      </c>
      <c r="AE497" s="1" t="s">
        <v>43</v>
      </c>
      <c r="AF497" s="1">
        <v>10</v>
      </c>
      <c r="AG497" s="1" t="s">
        <v>43</v>
      </c>
      <c r="AH497" s="2">
        <v>46113</v>
      </c>
    </row>
    <row r="498" spans="1:34" x14ac:dyDescent="0.3">
      <c r="A498" s="1">
        <v>7415301</v>
      </c>
      <c r="B498" s="1">
        <v>5.86</v>
      </c>
      <c r="C498" s="1">
        <v>225</v>
      </c>
      <c r="D498" s="1">
        <v>239</v>
      </c>
      <c r="E498" s="1" t="s">
        <v>43</v>
      </c>
      <c r="F498" s="1">
        <v>0</v>
      </c>
      <c r="G498" s="1" t="s">
        <v>1826</v>
      </c>
      <c r="H498" s="1" t="s">
        <v>1827</v>
      </c>
      <c r="I498" s="1" t="str">
        <f>HYPERLINK("https://www.systembolaget.se/produkt/vin/cal-pla-negre-7415301/","https://www.systembolaget.se/produkt/vin/cal-pla-negre-7415301/")</f>
        <v>https://www.systembolaget.se/produkt/vin/cal-pla-negre-7415301/</v>
      </c>
      <c r="J498" s="1">
        <v>0</v>
      </c>
      <c r="K498" s="1">
        <v>5.86</v>
      </c>
      <c r="L498" s="2">
        <v>45439</v>
      </c>
      <c r="M498" s="1" t="s">
        <v>1828</v>
      </c>
      <c r="N498" s="1">
        <v>0.48</v>
      </c>
      <c r="O498" s="1">
        <v>750</v>
      </c>
      <c r="P498" s="1">
        <v>14.5</v>
      </c>
      <c r="Q498" s="1" t="s">
        <v>38</v>
      </c>
      <c r="R498" s="1" t="s">
        <v>52</v>
      </c>
      <c r="S498" s="1"/>
      <c r="T498" s="1"/>
      <c r="U498" s="1" t="s">
        <v>164</v>
      </c>
      <c r="V498" s="1" t="s">
        <v>401</v>
      </c>
      <c r="W498" s="1" t="s">
        <v>1485</v>
      </c>
      <c r="X498" s="1" t="s">
        <v>1829</v>
      </c>
      <c r="Y498" s="1" t="s">
        <v>1830</v>
      </c>
      <c r="Z498" s="1" t="s">
        <v>43</v>
      </c>
      <c r="AA498" s="1">
        <v>2022</v>
      </c>
      <c r="AB498" s="1" t="s">
        <v>44</v>
      </c>
      <c r="AC498" s="1" t="s">
        <v>45</v>
      </c>
      <c r="AD498" s="1" t="s">
        <v>43</v>
      </c>
      <c r="AE498" s="1" t="s">
        <v>43</v>
      </c>
      <c r="AF498" s="1"/>
      <c r="AG498" s="1" t="s">
        <v>43</v>
      </c>
      <c r="AH498" s="2">
        <v>45446</v>
      </c>
    </row>
    <row r="499" spans="1:34" x14ac:dyDescent="0.3">
      <c r="A499" s="1">
        <v>5000021</v>
      </c>
      <c r="B499" s="1">
        <v>5.8</v>
      </c>
      <c r="C499" s="1">
        <v>65</v>
      </c>
      <c r="D499" s="1">
        <v>69</v>
      </c>
      <c r="E499" s="1" t="s">
        <v>43</v>
      </c>
      <c r="F499" s="1">
        <v>0</v>
      </c>
      <c r="G499" s="1" t="s">
        <v>1831</v>
      </c>
      <c r="H499" s="1"/>
      <c r="I499" s="1" t="str">
        <f>HYPERLINK("https://www.systembolaget.se/produkt/vin/carte-postal-by-le-grand-roi-5000021/","https://www.systembolaget.se/produkt/vin/carte-postal-by-le-grand-roi-5000021/")</f>
        <v>https://www.systembolaget.se/produkt/vin/carte-postal-by-le-grand-roi-5000021/</v>
      </c>
      <c r="J499" s="1">
        <v>17.72</v>
      </c>
      <c r="K499" s="1">
        <v>5.8</v>
      </c>
      <c r="L499" s="2">
        <v>45395</v>
      </c>
      <c r="M499" s="1" t="s">
        <v>1832</v>
      </c>
      <c r="N499" s="1">
        <v>1.62</v>
      </c>
      <c r="O499" s="1">
        <v>750</v>
      </c>
      <c r="P499" s="1">
        <v>14</v>
      </c>
      <c r="Q499" s="1" t="s">
        <v>38</v>
      </c>
      <c r="R499" s="1" t="s">
        <v>52</v>
      </c>
      <c r="S499" s="1" t="s">
        <v>386</v>
      </c>
      <c r="T499" s="1"/>
      <c r="U499" s="1" t="s">
        <v>101</v>
      </c>
      <c r="V499" s="1" t="s">
        <v>474</v>
      </c>
      <c r="W499" s="1" t="s">
        <v>559</v>
      </c>
      <c r="X499" s="1" t="s">
        <v>1833</v>
      </c>
      <c r="Y499" s="1" t="s">
        <v>865</v>
      </c>
      <c r="Z499" s="1" t="s">
        <v>43</v>
      </c>
      <c r="AA499" s="1">
        <v>2023</v>
      </c>
      <c r="AB499" s="1" t="s">
        <v>181</v>
      </c>
      <c r="AC499" s="1" t="s">
        <v>45</v>
      </c>
      <c r="AD499" s="1" t="s">
        <v>43</v>
      </c>
      <c r="AE499" s="1" t="s">
        <v>43</v>
      </c>
      <c r="AF499" s="1">
        <v>3</v>
      </c>
      <c r="AG499" s="1" t="s">
        <v>43</v>
      </c>
      <c r="AH499" s="2">
        <v>45352</v>
      </c>
    </row>
    <row r="500" spans="1:34" x14ac:dyDescent="0.3">
      <c r="A500" s="1">
        <v>3491735</v>
      </c>
      <c r="B500" s="1">
        <v>5.73</v>
      </c>
      <c r="C500" s="1">
        <v>32.9</v>
      </c>
      <c r="D500" s="1">
        <v>34.9</v>
      </c>
      <c r="E500" s="1" t="s">
        <v>43</v>
      </c>
      <c r="F500" s="1">
        <v>0</v>
      </c>
      <c r="G500" s="1" t="s">
        <v>1834</v>
      </c>
      <c r="H500" s="1" t="s">
        <v>1835</v>
      </c>
      <c r="I500" s="1" t="str">
        <f>HYPERLINK("https://www.systembolaget.se/produkt/ol/majornas-3491735/","https://www.systembolaget.se/produkt/ol/majornas-3491735/")</f>
        <v>https://www.systembolaget.se/produkt/ol/majornas-3491735/</v>
      </c>
      <c r="J500" s="1"/>
      <c r="K500" s="1">
        <v>5.73</v>
      </c>
      <c r="L500" s="2">
        <v>46098</v>
      </c>
      <c r="M500" s="1" t="s">
        <v>1836</v>
      </c>
      <c r="N500" s="1">
        <v>0.64</v>
      </c>
      <c r="O500" s="1">
        <v>330</v>
      </c>
      <c r="P500" s="1">
        <v>6.4</v>
      </c>
      <c r="Q500" s="1" t="s">
        <v>107</v>
      </c>
      <c r="R500" s="1" t="s">
        <v>108</v>
      </c>
      <c r="S500" s="1" t="s">
        <v>790</v>
      </c>
      <c r="T500" s="1"/>
      <c r="U500" s="1" t="s">
        <v>110</v>
      </c>
      <c r="V500" s="1" t="s">
        <v>136</v>
      </c>
      <c r="W500" s="1" t="s">
        <v>137</v>
      </c>
      <c r="X500" s="1" t="s">
        <v>1837</v>
      </c>
      <c r="Y500" s="1" t="s">
        <v>1838</v>
      </c>
      <c r="Z500" s="1" t="s">
        <v>43</v>
      </c>
      <c r="AA500" s="1"/>
      <c r="AB500" s="1" t="s">
        <v>114</v>
      </c>
      <c r="AC500" s="1" t="s">
        <v>115</v>
      </c>
      <c r="AD500" s="1" t="s">
        <v>46</v>
      </c>
      <c r="AE500" s="1" t="s">
        <v>43</v>
      </c>
      <c r="AF500" s="1"/>
      <c r="AG500" s="1" t="s">
        <v>43</v>
      </c>
      <c r="AH500" s="2">
        <v>46113</v>
      </c>
    </row>
    <row r="501" spans="1:34" x14ac:dyDescent="0.3">
      <c r="A501" s="1">
        <v>5989401</v>
      </c>
      <c r="B501" s="1">
        <v>5.73</v>
      </c>
      <c r="C501" s="1">
        <v>329</v>
      </c>
      <c r="D501" s="1">
        <v>349</v>
      </c>
      <c r="E501" s="1" t="s">
        <v>43</v>
      </c>
      <c r="F501" s="1">
        <v>0</v>
      </c>
      <c r="G501" s="1" t="s">
        <v>1839</v>
      </c>
      <c r="H501" s="1" t="s">
        <v>1840</v>
      </c>
      <c r="I501" s="1" t="str">
        <f>HYPERLINK("https://www.systembolaget.se/produkt/vin/pinot-noir-aristos-5989401/","https://www.systembolaget.se/produkt/vin/pinot-noir-aristos-5989401/")</f>
        <v>https://www.systembolaget.se/produkt/vin/pinot-noir-aristos-5989401/</v>
      </c>
      <c r="J501" s="1">
        <v>5.73</v>
      </c>
      <c r="K501" s="1">
        <v>5.73</v>
      </c>
      <c r="L501" s="2">
        <v>45389</v>
      </c>
      <c r="M501" s="1" t="s">
        <v>1841</v>
      </c>
      <c r="N501" s="1">
        <v>0.31</v>
      </c>
      <c r="O501" s="1">
        <v>750</v>
      </c>
      <c r="P501" s="1">
        <v>13.5</v>
      </c>
      <c r="Q501" s="1" t="s">
        <v>38</v>
      </c>
      <c r="R501" s="1" t="s">
        <v>52</v>
      </c>
      <c r="S501" s="1"/>
      <c r="T501" s="1"/>
      <c r="U501" s="1" t="s">
        <v>53</v>
      </c>
      <c r="V501" s="1" t="s">
        <v>1842</v>
      </c>
      <c r="W501" s="1" t="s">
        <v>1843</v>
      </c>
      <c r="X501" s="1" t="s">
        <v>1840</v>
      </c>
      <c r="Y501" s="1" t="s">
        <v>64</v>
      </c>
      <c r="Z501" s="1" t="s">
        <v>43</v>
      </c>
      <c r="AA501" s="1">
        <v>2020</v>
      </c>
      <c r="AB501" s="1" t="s">
        <v>44</v>
      </c>
      <c r="AC501" s="1" t="s">
        <v>45</v>
      </c>
      <c r="AD501" s="1" t="s">
        <v>43</v>
      </c>
      <c r="AE501" s="1" t="s">
        <v>43</v>
      </c>
      <c r="AF501" s="1"/>
      <c r="AG501" s="1" t="s">
        <v>43</v>
      </c>
      <c r="AH501" s="2">
        <v>44951</v>
      </c>
    </row>
    <row r="502" spans="1:34" x14ac:dyDescent="0.3">
      <c r="A502" s="1">
        <v>8293701</v>
      </c>
      <c r="B502" s="1">
        <v>5.73</v>
      </c>
      <c r="C502" s="1">
        <v>329</v>
      </c>
      <c r="D502" s="1">
        <v>349</v>
      </c>
      <c r="E502" s="1" t="s">
        <v>43</v>
      </c>
      <c r="F502" s="1">
        <v>0</v>
      </c>
      <c r="G502" s="1" t="s">
        <v>1262</v>
      </c>
      <c r="H502" s="1" t="s">
        <v>1844</v>
      </c>
      <c r="I502" s="1" t="str">
        <f>HYPERLINK("https://www.systembolaget.se/produkt/sprit/bacanal-8293701/","https://www.systembolaget.se/produkt/sprit/bacanal-8293701/")</f>
        <v>https://www.systembolaget.se/produkt/sprit/bacanal-8293701/</v>
      </c>
      <c r="J502" s="1"/>
      <c r="K502" s="1">
        <v>5.73</v>
      </c>
      <c r="L502" s="2">
        <v>46195</v>
      </c>
      <c r="M502" s="1" t="s">
        <v>1845</v>
      </c>
      <c r="N502" s="1">
        <v>0.8</v>
      </c>
      <c r="O502" s="1">
        <v>700</v>
      </c>
      <c r="P502" s="1">
        <v>37.5</v>
      </c>
      <c r="Q502" s="1" t="s">
        <v>308</v>
      </c>
      <c r="R502" s="1" t="s">
        <v>908</v>
      </c>
      <c r="S502" s="1" t="s">
        <v>909</v>
      </c>
      <c r="T502" s="1"/>
      <c r="U502" s="1" t="s">
        <v>1265</v>
      </c>
      <c r="V502" s="1"/>
      <c r="W502" s="1"/>
      <c r="X502" s="1" t="s">
        <v>1266</v>
      </c>
      <c r="Y502" s="1" t="s">
        <v>1267</v>
      </c>
      <c r="Z502" s="1" t="s">
        <v>43</v>
      </c>
      <c r="AA502" s="1"/>
      <c r="AB502" s="1" t="s">
        <v>44</v>
      </c>
      <c r="AC502" s="1" t="s">
        <v>45</v>
      </c>
      <c r="AD502" s="1" t="s">
        <v>43</v>
      </c>
      <c r="AE502" s="1" t="s">
        <v>43</v>
      </c>
      <c r="AF502" s="1"/>
      <c r="AG502" s="1" t="s">
        <v>43</v>
      </c>
      <c r="AH502" s="2">
        <v>46202</v>
      </c>
    </row>
    <row r="503" spans="1:34" x14ac:dyDescent="0.3">
      <c r="A503" s="1">
        <v>7008501</v>
      </c>
      <c r="B503" s="1">
        <v>5.72</v>
      </c>
      <c r="C503" s="1">
        <v>659</v>
      </c>
      <c r="D503" s="1">
        <v>699</v>
      </c>
      <c r="E503" s="1" t="s">
        <v>43</v>
      </c>
      <c r="F503" s="1">
        <v>0</v>
      </c>
      <c r="G503" s="1" t="s">
        <v>1499</v>
      </c>
      <c r="H503" s="1" t="s">
        <v>1846</v>
      </c>
      <c r="I503" s="1" t="str">
        <f>HYPERLINK("https://www.systembolaget.se/produkt/vin/piper-heidsieck-7008501/","https://www.systembolaget.se/produkt/vin/piper-heidsieck-7008501/")</f>
        <v>https://www.systembolaget.se/produkt/vin/piper-heidsieck-7008501/</v>
      </c>
      <c r="J503" s="1">
        <v>5.72</v>
      </c>
      <c r="K503" s="1">
        <v>5.72</v>
      </c>
      <c r="L503" s="2">
        <v>45444</v>
      </c>
      <c r="M503" s="1" t="s">
        <v>1847</v>
      </c>
      <c r="N503" s="1">
        <v>0.14000000000000001</v>
      </c>
      <c r="O503" s="1">
        <v>750</v>
      </c>
      <c r="P503" s="1">
        <v>12</v>
      </c>
      <c r="Q503" s="1" t="s">
        <v>38</v>
      </c>
      <c r="R503" s="1" t="s">
        <v>61</v>
      </c>
      <c r="S503" s="1" t="s">
        <v>68</v>
      </c>
      <c r="T503" s="1"/>
      <c r="U503" s="1" t="s">
        <v>101</v>
      </c>
      <c r="V503" s="1" t="s">
        <v>346</v>
      </c>
      <c r="W503" s="1"/>
      <c r="X503" s="1" t="s">
        <v>1499</v>
      </c>
      <c r="Y503" s="1" t="s">
        <v>1500</v>
      </c>
      <c r="Z503" s="1" t="s">
        <v>43</v>
      </c>
      <c r="AA503" s="1">
        <v>2014</v>
      </c>
      <c r="AB503" s="1" t="s">
        <v>44</v>
      </c>
      <c r="AC503" s="1" t="s">
        <v>45</v>
      </c>
      <c r="AD503" s="1" t="s">
        <v>43</v>
      </c>
      <c r="AE503" s="1" t="s">
        <v>43</v>
      </c>
      <c r="AF503" s="1"/>
      <c r="AG503" s="1" t="s">
        <v>43</v>
      </c>
      <c r="AH503" s="2">
        <v>45299</v>
      </c>
    </row>
    <row r="504" spans="1:34" x14ac:dyDescent="0.3">
      <c r="A504" s="1">
        <v>7253301</v>
      </c>
      <c r="B504" s="1">
        <v>5.72</v>
      </c>
      <c r="C504" s="1">
        <v>6599</v>
      </c>
      <c r="D504" s="1">
        <v>6999</v>
      </c>
      <c r="E504" s="1" t="s">
        <v>43</v>
      </c>
      <c r="F504" s="1">
        <v>0</v>
      </c>
      <c r="G504" s="1" t="s">
        <v>1848</v>
      </c>
      <c r="H504" s="1" t="s">
        <v>1849</v>
      </c>
      <c r="I504" s="1" t="str">
        <f>HYPERLINK("https://www.systembolaget.se/produkt/vin/corton-grand-cru-7253301/","https://www.systembolaget.se/produkt/vin/corton-grand-cru-7253301/")</f>
        <v>https://www.systembolaget.se/produkt/vin/corton-grand-cru-7253301/</v>
      </c>
      <c r="J504" s="1"/>
      <c r="K504" s="1">
        <v>5.72</v>
      </c>
      <c r="L504" s="2">
        <v>46119</v>
      </c>
      <c r="M504" s="1" t="s">
        <v>1850</v>
      </c>
      <c r="N504" s="1">
        <v>0.02</v>
      </c>
      <c r="O504" s="1">
        <v>750</v>
      </c>
      <c r="P504" s="1">
        <v>13.5</v>
      </c>
      <c r="Q504" s="1" t="s">
        <v>38</v>
      </c>
      <c r="R504" s="1" t="s">
        <v>52</v>
      </c>
      <c r="S504" s="1"/>
      <c r="T504" s="1"/>
      <c r="U504" s="1" t="s">
        <v>101</v>
      </c>
      <c r="V504" s="1" t="s">
        <v>142</v>
      </c>
      <c r="W504" s="1" t="s">
        <v>143</v>
      </c>
      <c r="X504" s="1" t="s">
        <v>1849</v>
      </c>
      <c r="Y504" s="1" t="s">
        <v>678</v>
      </c>
      <c r="Z504" s="1" t="s">
        <v>43</v>
      </c>
      <c r="AA504" s="1">
        <v>2021</v>
      </c>
      <c r="AB504" s="1" t="s">
        <v>44</v>
      </c>
      <c r="AC504" s="1" t="s">
        <v>45</v>
      </c>
      <c r="AD504" s="1" t="s">
        <v>43</v>
      </c>
      <c r="AE504" s="1" t="s">
        <v>43</v>
      </c>
      <c r="AF504" s="1"/>
      <c r="AG504" s="1" t="s">
        <v>43</v>
      </c>
      <c r="AH504" s="2">
        <v>46125</v>
      </c>
    </row>
    <row r="505" spans="1:34" x14ac:dyDescent="0.3">
      <c r="A505" s="1">
        <v>7226301</v>
      </c>
      <c r="B505" s="1">
        <v>5.72</v>
      </c>
      <c r="C505" s="1">
        <v>6599</v>
      </c>
      <c r="D505" s="1">
        <v>6999</v>
      </c>
      <c r="E505" s="1" t="s">
        <v>43</v>
      </c>
      <c r="F505" s="1">
        <v>0</v>
      </c>
      <c r="G505" s="1" t="s">
        <v>1848</v>
      </c>
      <c r="H505" s="1" t="s">
        <v>1849</v>
      </c>
      <c r="I505" s="1" t="str">
        <f>HYPERLINK("https://www.systembolaget.se/produkt/vin/corton-grand-cru-7226301/","https://www.systembolaget.se/produkt/vin/corton-grand-cru-7226301/")</f>
        <v>https://www.systembolaget.se/produkt/vin/corton-grand-cru-7226301/</v>
      </c>
      <c r="J505" s="1">
        <v>5.72</v>
      </c>
      <c r="K505" s="1">
        <v>5.72</v>
      </c>
      <c r="L505" s="2">
        <v>45604</v>
      </c>
      <c r="M505" s="1" t="s">
        <v>1850</v>
      </c>
      <c r="N505" s="1">
        <v>0.02</v>
      </c>
      <c r="O505" s="1">
        <v>750</v>
      </c>
      <c r="P505" s="1">
        <v>13.5</v>
      </c>
      <c r="Q505" s="1" t="s">
        <v>38</v>
      </c>
      <c r="R505" s="1" t="s">
        <v>52</v>
      </c>
      <c r="S505" s="1"/>
      <c r="T505" s="1"/>
      <c r="U505" s="1" t="s">
        <v>101</v>
      </c>
      <c r="V505" s="1" t="s">
        <v>142</v>
      </c>
      <c r="W505" s="1" t="s">
        <v>143</v>
      </c>
      <c r="X505" s="1" t="s">
        <v>1849</v>
      </c>
      <c r="Y505" s="1" t="s">
        <v>678</v>
      </c>
      <c r="Z505" s="1" t="s">
        <v>43</v>
      </c>
      <c r="AA505" s="1">
        <v>2020</v>
      </c>
      <c r="AB505" s="1" t="s">
        <v>44</v>
      </c>
      <c r="AC505" s="1" t="s">
        <v>45</v>
      </c>
      <c r="AD505" s="1" t="s">
        <v>43</v>
      </c>
      <c r="AE505" s="1" t="s">
        <v>43</v>
      </c>
      <c r="AF505" s="1"/>
      <c r="AG505" s="1" t="s">
        <v>43</v>
      </c>
      <c r="AH505" s="2">
        <v>45600</v>
      </c>
    </row>
    <row r="506" spans="1:34" x14ac:dyDescent="0.3">
      <c r="A506" s="1">
        <v>7156301</v>
      </c>
      <c r="B506" s="1">
        <v>5.72</v>
      </c>
      <c r="C506" s="1">
        <v>6599</v>
      </c>
      <c r="D506" s="1">
        <v>6999</v>
      </c>
      <c r="E506" s="1" t="s">
        <v>43</v>
      </c>
      <c r="F506" s="1">
        <v>0</v>
      </c>
      <c r="G506" s="1" t="s">
        <v>1145</v>
      </c>
      <c r="H506" s="1" t="s">
        <v>801</v>
      </c>
      <c r="I506" s="1" t="str">
        <f>HYPERLINK("https://www.systembolaget.se/produkt/vin/bonnes-mares-grand-cru-7156301/","https://www.systembolaget.se/produkt/vin/bonnes-mares-grand-cru-7156301/")</f>
        <v>https://www.systembolaget.se/produkt/vin/bonnes-mares-grand-cru-7156301/</v>
      </c>
      <c r="J506" s="1"/>
      <c r="K506" s="1">
        <v>5.72</v>
      </c>
      <c r="L506" s="2">
        <v>46119</v>
      </c>
      <c r="M506" s="1" t="s">
        <v>1850</v>
      </c>
      <c r="N506" s="1">
        <v>0.02</v>
      </c>
      <c r="O506" s="1">
        <v>750</v>
      </c>
      <c r="P506" s="1">
        <v>13.5</v>
      </c>
      <c r="Q506" s="1" t="s">
        <v>38</v>
      </c>
      <c r="R506" s="1" t="s">
        <v>52</v>
      </c>
      <c r="S506" s="1"/>
      <c r="T506" s="1"/>
      <c r="U506" s="1" t="s">
        <v>101</v>
      </c>
      <c r="V506" s="1" t="s">
        <v>142</v>
      </c>
      <c r="W506" s="1" t="s">
        <v>725</v>
      </c>
      <c r="X506" s="1" t="s">
        <v>801</v>
      </c>
      <c r="Y506" s="1" t="s">
        <v>678</v>
      </c>
      <c r="Z506" s="1" t="s">
        <v>43</v>
      </c>
      <c r="AA506" s="1">
        <v>2020</v>
      </c>
      <c r="AB506" s="1" t="s">
        <v>44</v>
      </c>
      <c r="AC506" s="1" t="s">
        <v>45</v>
      </c>
      <c r="AD506" s="1" t="s">
        <v>43</v>
      </c>
      <c r="AE506" s="1" t="s">
        <v>43</v>
      </c>
      <c r="AF506" s="1"/>
      <c r="AG506" s="1" t="s">
        <v>43</v>
      </c>
      <c r="AH506" s="2">
        <v>46125</v>
      </c>
    </row>
    <row r="507" spans="1:34" x14ac:dyDescent="0.3">
      <c r="A507" s="1">
        <v>7029701</v>
      </c>
      <c r="B507" s="1">
        <v>5.71</v>
      </c>
      <c r="C507" s="1">
        <v>99</v>
      </c>
      <c r="D507" s="1">
        <v>105</v>
      </c>
      <c r="E507" s="1" t="s">
        <v>43</v>
      </c>
      <c r="F507" s="1">
        <v>0</v>
      </c>
      <c r="G507" s="1" t="s">
        <v>1851</v>
      </c>
      <c r="H507" s="1" t="s">
        <v>1852</v>
      </c>
      <c r="I507" s="1" t="str">
        <f>HYPERLINK("https://www.systembolaget.se/produkt/vin/cantina-zaccagnini-7029701/","https://www.systembolaget.se/produkt/vin/cantina-zaccagnini-7029701/")</f>
        <v>https://www.systembolaget.se/produkt/vin/cantina-zaccagnini-7029701/</v>
      </c>
      <c r="J507" s="1">
        <v>0</v>
      </c>
      <c r="K507" s="1">
        <v>5.71</v>
      </c>
      <c r="L507" s="2">
        <v>45496</v>
      </c>
      <c r="M507" s="1" t="s">
        <v>1853</v>
      </c>
      <c r="N507" s="1">
        <v>0.91</v>
      </c>
      <c r="O507" s="1">
        <v>750</v>
      </c>
      <c r="P507" s="1">
        <v>12</v>
      </c>
      <c r="Q507" s="1" t="s">
        <v>38</v>
      </c>
      <c r="R507" s="1" t="s">
        <v>39</v>
      </c>
      <c r="S507" s="1" t="s">
        <v>184</v>
      </c>
      <c r="T507" s="1"/>
      <c r="U507" s="1" t="s">
        <v>53</v>
      </c>
      <c r="V507" s="1" t="s">
        <v>1854</v>
      </c>
      <c r="W507" s="1" t="s">
        <v>1855</v>
      </c>
      <c r="X507" s="1" t="s">
        <v>1856</v>
      </c>
      <c r="Y507" s="1" t="s">
        <v>285</v>
      </c>
      <c r="Z507" s="1" t="s">
        <v>46</v>
      </c>
      <c r="AA507" s="1">
        <v>2025</v>
      </c>
      <c r="AB507" s="1" t="s">
        <v>77</v>
      </c>
      <c r="AC507" s="1" t="s">
        <v>90</v>
      </c>
      <c r="AD507" s="1" t="s">
        <v>43</v>
      </c>
      <c r="AE507" s="1" t="s">
        <v>43</v>
      </c>
      <c r="AF507" s="1">
        <v>6</v>
      </c>
      <c r="AG507" s="1" t="s">
        <v>43</v>
      </c>
      <c r="AH507" s="2">
        <v>42065</v>
      </c>
    </row>
    <row r="508" spans="1:34" x14ac:dyDescent="0.3">
      <c r="A508" s="1">
        <v>7795801</v>
      </c>
      <c r="B508" s="1">
        <v>5.71</v>
      </c>
      <c r="C508" s="1">
        <v>99</v>
      </c>
      <c r="D508" s="1">
        <v>105</v>
      </c>
      <c r="E508" s="1" t="s">
        <v>43</v>
      </c>
      <c r="F508" s="1">
        <v>0</v>
      </c>
      <c r="G508" s="1" t="s">
        <v>1857</v>
      </c>
      <c r="H508" s="1" t="s">
        <v>294</v>
      </c>
      <c r="I508" s="1" t="str">
        <f>HYPERLINK("https://www.systembolaget.se/produkt/vin/edel-7795801/","https://www.systembolaget.se/produkt/vin/edel-7795801/")</f>
        <v>https://www.systembolaget.se/produkt/vin/edel-7795801/</v>
      </c>
      <c r="J508" s="1"/>
      <c r="K508" s="1">
        <v>5.71</v>
      </c>
      <c r="L508" s="2">
        <v>46140</v>
      </c>
      <c r="M508" s="1" t="s">
        <v>1858</v>
      </c>
      <c r="N508" s="1">
        <v>1.26</v>
      </c>
      <c r="O508" s="1">
        <v>1000</v>
      </c>
      <c r="P508" s="1">
        <v>12.5</v>
      </c>
      <c r="Q508" s="1" t="s">
        <v>38</v>
      </c>
      <c r="R508" s="1" t="s">
        <v>39</v>
      </c>
      <c r="S508" s="1" t="s">
        <v>184</v>
      </c>
      <c r="T508" s="1"/>
      <c r="U508" s="1" t="s">
        <v>295</v>
      </c>
      <c r="V508" s="1" t="s">
        <v>296</v>
      </c>
      <c r="W508" s="1"/>
      <c r="X508" s="1" t="s">
        <v>153</v>
      </c>
      <c r="Y508" s="1" t="s">
        <v>153</v>
      </c>
      <c r="Z508" s="1" t="s">
        <v>43</v>
      </c>
      <c r="AA508" s="1">
        <v>2025</v>
      </c>
      <c r="AB508" s="1" t="s">
        <v>77</v>
      </c>
      <c r="AC508" s="1" t="s">
        <v>45</v>
      </c>
      <c r="AD508" s="1" t="s">
        <v>43</v>
      </c>
      <c r="AE508" s="1" t="s">
        <v>43</v>
      </c>
      <c r="AF508" s="1">
        <v>5</v>
      </c>
      <c r="AG508" s="1" t="s">
        <v>43</v>
      </c>
      <c r="AH508" s="2">
        <v>46147</v>
      </c>
    </row>
    <row r="509" spans="1:34" x14ac:dyDescent="0.3">
      <c r="A509" s="1">
        <v>13101</v>
      </c>
      <c r="B509" s="1">
        <v>5.59</v>
      </c>
      <c r="C509" s="1">
        <v>169</v>
      </c>
      <c r="D509" s="1">
        <v>179</v>
      </c>
      <c r="E509" s="1" t="s">
        <v>43</v>
      </c>
      <c r="F509" s="1">
        <v>0</v>
      </c>
      <c r="G509" s="1" t="s">
        <v>1859</v>
      </c>
      <c r="H509" s="1" t="s">
        <v>1860</v>
      </c>
      <c r="I509" s="1" t="str">
        <f>HYPERLINK("https://www.systembolaget.se/produkt/vin/mikadomatsu-13101/","https://www.systembolaget.se/produkt/vin/mikadomatsu-13101/")</f>
        <v>https://www.systembolaget.se/produkt/vin/mikadomatsu-13101/</v>
      </c>
      <c r="J509" s="1">
        <v>5.59</v>
      </c>
      <c r="K509" s="1">
        <v>5.59</v>
      </c>
      <c r="L509" s="2">
        <v>45880</v>
      </c>
      <c r="M509" s="1" t="s">
        <v>1861</v>
      </c>
      <c r="N509" s="1">
        <v>0.64</v>
      </c>
      <c r="O509" s="1">
        <v>720</v>
      </c>
      <c r="P509" s="1">
        <v>15</v>
      </c>
      <c r="Q509" s="1" t="s">
        <v>38</v>
      </c>
      <c r="R509" s="1" t="s">
        <v>1862</v>
      </c>
      <c r="S509" s="1"/>
      <c r="T509" s="1"/>
      <c r="U509" s="1" t="s">
        <v>855</v>
      </c>
      <c r="V509" s="1"/>
      <c r="W509" s="1"/>
      <c r="X509" s="1" t="s">
        <v>1863</v>
      </c>
      <c r="Y509" s="1" t="s">
        <v>1864</v>
      </c>
      <c r="Z509" s="1" t="s">
        <v>43</v>
      </c>
      <c r="AA509" s="1"/>
      <c r="AB509" s="1" t="s">
        <v>44</v>
      </c>
      <c r="AC509" s="1" t="s">
        <v>90</v>
      </c>
      <c r="AD509" s="1" t="s">
        <v>43</v>
      </c>
      <c r="AE509" s="1" t="s">
        <v>43</v>
      </c>
      <c r="AF509" s="1">
        <v>19</v>
      </c>
      <c r="AG509" s="1" t="s">
        <v>43</v>
      </c>
      <c r="AH509" s="2">
        <v>45901</v>
      </c>
    </row>
    <row r="510" spans="1:34" x14ac:dyDescent="0.3">
      <c r="A510" s="1">
        <v>7453701</v>
      </c>
      <c r="B510" s="1">
        <v>5.56</v>
      </c>
      <c r="C510" s="1">
        <v>119</v>
      </c>
      <c r="D510" s="1">
        <v>126</v>
      </c>
      <c r="E510" s="1" t="s">
        <v>43</v>
      </c>
      <c r="F510" s="1">
        <v>0</v>
      </c>
      <c r="G510" s="1" t="s">
        <v>1865</v>
      </c>
      <c r="H510" s="1" t="s">
        <v>1866</v>
      </c>
      <c r="I510" s="1" t="str">
        <f>HYPERLINK("https://www.systembolaget.se/produkt/vin/nox-mistery-red-7453701/","https://www.systembolaget.se/produkt/vin/nox-mistery-red-7453701/")</f>
        <v>https://www.systembolaget.se/produkt/vin/nox-mistery-red-7453701/</v>
      </c>
      <c r="J510" s="1">
        <v>4.8</v>
      </c>
      <c r="K510" s="1">
        <v>5.56</v>
      </c>
      <c r="L510" s="2">
        <v>45537</v>
      </c>
      <c r="M510" s="1" t="s">
        <v>1867</v>
      </c>
      <c r="N510" s="1">
        <v>0.82</v>
      </c>
      <c r="O510" s="1">
        <v>750</v>
      </c>
      <c r="P510" s="1">
        <v>13</v>
      </c>
      <c r="Q510" s="1" t="s">
        <v>38</v>
      </c>
      <c r="R510" s="1" t="s">
        <v>52</v>
      </c>
      <c r="S510" s="1"/>
      <c r="T510" s="1"/>
      <c r="U510" s="1" t="s">
        <v>164</v>
      </c>
      <c r="V510" s="1" t="s">
        <v>401</v>
      </c>
      <c r="W510" s="1" t="s">
        <v>402</v>
      </c>
      <c r="X510" s="1" t="s">
        <v>1866</v>
      </c>
      <c r="Y510" s="1" t="s">
        <v>479</v>
      </c>
      <c r="Z510" s="1" t="s">
        <v>43</v>
      </c>
      <c r="AA510" s="1">
        <v>2022</v>
      </c>
      <c r="AB510" s="1" t="s">
        <v>44</v>
      </c>
      <c r="AC510" s="1" t="s">
        <v>45</v>
      </c>
      <c r="AD510" s="1" t="s">
        <v>43</v>
      </c>
      <c r="AE510" s="1" t="s">
        <v>43</v>
      </c>
      <c r="AF510" s="1"/>
      <c r="AG510" s="1" t="s">
        <v>43</v>
      </c>
      <c r="AH510" s="2">
        <v>45544</v>
      </c>
    </row>
    <row r="511" spans="1:34" x14ac:dyDescent="0.3">
      <c r="A511" s="1">
        <v>7565801</v>
      </c>
      <c r="B511" s="1">
        <v>5.56</v>
      </c>
      <c r="C511" s="1">
        <v>119</v>
      </c>
      <c r="D511" s="1">
        <v>126</v>
      </c>
      <c r="E511" s="1" t="s">
        <v>43</v>
      </c>
      <c r="F511" s="1">
        <v>0</v>
      </c>
      <c r="G511" s="1" t="s">
        <v>1868</v>
      </c>
      <c r="H511" s="1" t="s">
        <v>1866</v>
      </c>
      <c r="I511" s="1" t="str">
        <f>HYPERLINK("https://www.systembolaget.se/produkt/vin/nox-snow-white-7565801/","https://www.systembolaget.se/produkt/vin/nox-snow-white-7565801/")</f>
        <v>https://www.systembolaget.se/produkt/vin/nox-snow-white-7565801/</v>
      </c>
      <c r="J511" s="1">
        <v>4.8</v>
      </c>
      <c r="K511" s="1">
        <v>5.56</v>
      </c>
      <c r="L511" s="2">
        <v>45518</v>
      </c>
      <c r="M511" s="1" t="s">
        <v>1867</v>
      </c>
      <c r="N511" s="1">
        <v>0.76</v>
      </c>
      <c r="O511" s="1">
        <v>750</v>
      </c>
      <c r="P511" s="1">
        <v>12</v>
      </c>
      <c r="Q511" s="1" t="s">
        <v>38</v>
      </c>
      <c r="R511" s="1" t="s">
        <v>39</v>
      </c>
      <c r="S511" s="1"/>
      <c r="T511" s="1"/>
      <c r="U511" s="1" t="s">
        <v>164</v>
      </c>
      <c r="V511" s="1" t="s">
        <v>401</v>
      </c>
      <c r="W511" s="1" t="s">
        <v>402</v>
      </c>
      <c r="X511" s="1" t="s">
        <v>1866</v>
      </c>
      <c r="Y511" s="1" t="s">
        <v>479</v>
      </c>
      <c r="Z511" s="1" t="s">
        <v>43</v>
      </c>
      <c r="AA511" s="1">
        <v>2022</v>
      </c>
      <c r="AB511" s="1" t="s">
        <v>44</v>
      </c>
      <c r="AC511" s="1" t="s">
        <v>45</v>
      </c>
      <c r="AD511" s="1" t="s">
        <v>43</v>
      </c>
      <c r="AE511" s="1" t="s">
        <v>43</v>
      </c>
      <c r="AF511" s="1"/>
      <c r="AG511" s="1" t="s">
        <v>43</v>
      </c>
      <c r="AH511" s="2">
        <v>45525</v>
      </c>
    </row>
    <row r="512" spans="1:34" x14ac:dyDescent="0.3">
      <c r="A512" s="1">
        <v>7238601</v>
      </c>
      <c r="B512" s="1">
        <v>5.56</v>
      </c>
      <c r="C512" s="1">
        <v>8499</v>
      </c>
      <c r="D512" s="1">
        <v>8999</v>
      </c>
      <c r="E512" s="1" t="s">
        <v>43</v>
      </c>
      <c r="F512" s="1">
        <v>0</v>
      </c>
      <c r="G512" s="1" t="s">
        <v>722</v>
      </c>
      <c r="H512" s="1" t="s">
        <v>723</v>
      </c>
      <c r="I512" s="1" t="str">
        <f>HYPERLINK("https://www.systembolaget.se/produkt/vin/chambertin-grand-cru-7238601/","https://www.systembolaget.se/produkt/vin/chambertin-grand-cru-7238601/")</f>
        <v>https://www.systembolaget.se/produkt/vin/chambertin-grand-cru-7238601/</v>
      </c>
      <c r="J512" s="1">
        <v>5.56</v>
      </c>
      <c r="K512" s="1">
        <v>5.56</v>
      </c>
      <c r="L512" s="2">
        <v>45389</v>
      </c>
      <c r="M512" s="1" t="s">
        <v>1869</v>
      </c>
      <c r="N512" s="1">
        <v>0.01</v>
      </c>
      <c r="O512" s="1">
        <v>750</v>
      </c>
      <c r="P512" s="1">
        <v>13</v>
      </c>
      <c r="Q512" s="1" t="s">
        <v>38</v>
      </c>
      <c r="R512" s="1" t="s">
        <v>52</v>
      </c>
      <c r="S512" s="1"/>
      <c r="T512" s="1"/>
      <c r="U512" s="1" t="s">
        <v>101</v>
      </c>
      <c r="V512" s="1" t="s">
        <v>142</v>
      </c>
      <c r="W512" s="1" t="s">
        <v>725</v>
      </c>
      <c r="X512" s="1" t="s">
        <v>723</v>
      </c>
      <c r="Y512" s="1" t="s">
        <v>678</v>
      </c>
      <c r="Z512" s="1" t="s">
        <v>46</v>
      </c>
      <c r="AA512" s="1">
        <v>2006</v>
      </c>
      <c r="AB512" s="1" t="s">
        <v>44</v>
      </c>
      <c r="AC512" s="1" t="s">
        <v>45</v>
      </c>
      <c r="AD512" s="1" t="s">
        <v>43</v>
      </c>
      <c r="AE512" s="1" t="s">
        <v>43</v>
      </c>
      <c r="AF512" s="1"/>
      <c r="AG512" s="1" t="s">
        <v>43</v>
      </c>
      <c r="AH512" s="2">
        <v>45271</v>
      </c>
    </row>
    <row r="513" spans="1:34" x14ac:dyDescent="0.3">
      <c r="A513" s="1">
        <v>7102801</v>
      </c>
      <c r="B513" s="1">
        <v>5.56</v>
      </c>
      <c r="C513" s="1">
        <v>3399</v>
      </c>
      <c r="D513" s="1">
        <v>3599</v>
      </c>
      <c r="E513" s="1" t="s">
        <v>43</v>
      </c>
      <c r="F513" s="1">
        <v>0</v>
      </c>
      <c r="G513" s="1" t="s">
        <v>1278</v>
      </c>
      <c r="H513" s="1" t="s">
        <v>1870</v>
      </c>
      <c r="I513" s="1" t="str">
        <f>HYPERLINK("https://www.systembolaget.se/produkt/vin/clos-de-vougeot-grand-cru-7102801/","https://www.systembolaget.se/produkt/vin/clos-de-vougeot-grand-cru-7102801/")</f>
        <v>https://www.systembolaget.se/produkt/vin/clos-de-vougeot-grand-cru-7102801/</v>
      </c>
      <c r="J513" s="1">
        <v>5.56</v>
      </c>
      <c r="K513" s="1">
        <v>5.56</v>
      </c>
      <c r="L513" s="2">
        <v>45588</v>
      </c>
      <c r="M513" s="1" t="s">
        <v>1871</v>
      </c>
      <c r="N513" s="1">
        <v>0.03</v>
      </c>
      <c r="O513" s="1">
        <v>750</v>
      </c>
      <c r="P513" s="1">
        <v>13.5</v>
      </c>
      <c r="Q513" s="1" t="s">
        <v>38</v>
      </c>
      <c r="R513" s="1" t="s">
        <v>52</v>
      </c>
      <c r="S513" s="1"/>
      <c r="T513" s="1"/>
      <c r="U513" s="1" t="s">
        <v>101</v>
      </c>
      <c r="V513" s="1" t="s">
        <v>142</v>
      </c>
      <c r="W513" s="1" t="s">
        <v>725</v>
      </c>
      <c r="X513" s="1" t="s">
        <v>1176</v>
      </c>
      <c r="Y513" s="1" t="s">
        <v>678</v>
      </c>
      <c r="Z513" s="1" t="s">
        <v>43</v>
      </c>
      <c r="AA513" s="1">
        <v>2020</v>
      </c>
      <c r="AB513" s="1" t="s">
        <v>44</v>
      </c>
      <c r="AC513" s="1" t="s">
        <v>45</v>
      </c>
      <c r="AD513" s="1" t="s">
        <v>43</v>
      </c>
      <c r="AE513" s="1" t="s">
        <v>43</v>
      </c>
      <c r="AF513" s="1"/>
      <c r="AG513" s="1" t="s">
        <v>43</v>
      </c>
      <c r="AH513" s="2">
        <v>45595</v>
      </c>
    </row>
    <row r="514" spans="1:34" x14ac:dyDescent="0.3">
      <c r="A514" s="1">
        <v>8282001</v>
      </c>
      <c r="B514" s="1">
        <v>5.39</v>
      </c>
      <c r="C514" s="1">
        <v>209</v>
      </c>
      <c r="D514" s="1">
        <v>220.9</v>
      </c>
      <c r="E514" s="1" t="s">
        <v>43</v>
      </c>
      <c r="F514" s="1">
        <v>0</v>
      </c>
      <c r="G514" s="1" t="s">
        <v>1872</v>
      </c>
      <c r="H514" s="1" t="s">
        <v>1873</v>
      </c>
      <c r="I514" s="1" t="str">
        <f>HYPERLINK("https://www.systembolaget.se/produkt/cider-blanddrycker/dupont-cidre-8282001/","https://www.systembolaget.se/produkt/cider-blanddrycker/dupont-cidre-8282001/")</f>
        <v>https://www.systembolaget.se/produkt/cider-blanddrycker/dupont-cidre-8282001/</v>
      </c>
      <c r="J514" s="1">
        <v>4.57</v>
      </c>
      <c r="K514" s="1">
        <v>5.39</v>
      </c>
      <c r="L514" s="2">
        <v>45389</v>
      </c>
      <c r="M514" s="1" t="s">
        <v>1874</v>
      </c>
      <c r="N514" s="1">
        <v>0.27</v>
      </c>
      <c r="O514" s="1">
        <v>750</v>
      </c>
      <c r="P514" s="1">
        <v>7.5</v>
      </c>
      <c r="Q514" s="1" t="s">
        <v>157</v>
      </c>
      <c r="R514" s="1" t="s">
        <v>158</v>
      </c>
      <c r="S514" s="1" t="s">
        <v>1335</v>
      </c>
      <c r="T514" s="1"/>
      <c r="U514" s="1" t="s">
        <v>101</v>
      </c>
      <c r="V514" s="1" t="s">
        <v>1875</v>
      </c>
      <c r="W514" s="1" t="s">
        <v>1876</v>
      </c>
      <c r="X514" s="1" t="s">
        <v>1877</v>
      </c>
      <c r="Y514" s="1" t="s">
        <v>256</v>
      </c>
      <c r="Z514" s="1" t="s">
        <v>43</v>
      </c>
      <c r="AA514" s="1">
        <v>2019</v>
      </c>
      <c r="AB514" s="1" t="s">
        <v>44</v>
      </c>
      <c r="AC514" s="1" t="s">
        <v>45</v>
      </c>
      <c r="AD514" s="1" t="s">
        <v>43</v>
      </c>
      <c r="AE514" s="1" t="s">
        <v>43</v>
      </c>
      <c r="AF514" s="1"/>
      <c r="AG514" s="1" t="s">
        <v>43</v>
      </c>
      <c r="AH514" s="2">
        <v>39114</v>
      </c>
    </row>
    <row r="515" spans="1:34" x14ac:dyDescent="0.3">
      <c r="A515" s="1">
        <v>3383635</v>
      </c>
      <c r="B515" s="1">
        <v>5.38</v>
      </c>
      <c r="C515" s="1">
        <v>29.9</v>
      </c>
      <c r="D515" s="1">
        <v>31.6</v>
      </c>
      <c r="E515" s="1" t="s">
        <v>43</v>
      </c>
      <c r="F515" s="1">
        <v>0</v>
      </c>
      <c r="G515" s="1" t="s">
        <v>915</v>
      </c>
      <c r="H515" s="1" t="s">
        <v>1878</v>
      </c>
      <c r="I515" s="1" t="str">
        <f>HYPERLINK("https://www.systembolaget.se/produkt/ol/bromma-allmanna-bryggeri-3383635/","https://www.systembolaget.se/produkt/ol/bromma-allmanna-bryggeri-3383635/")</f>
        <v>https://www.systembolaget.se/produkt/ol/bromma-allmanna-bryggeri-3383635/</v>
      </c>
      <c r="J515" s="1"/>
      <c r="K515" s="1">
        <v>5.38</v>
      </c>
      <c r="L515" s="2">
        <v>46076</v>
      </c>
      <c r="M515" s="1" t="s">
        <v>1879</v>
      </c>
      <c r="N515" s="1">
        <v>0.49</v>
      </c>
      <c r="O515" s="1">
        <v>330</v>
      </c>
      <c r="P515" s="1">
        <v>4.4000000000000004</v>
      </c>
      <c r="Q515" s="1" t="s">
        <v>107</v>
      </c>
      <c r="R515" s="1" t="s">
        <v>108</v>
      </c>
      <c r="S515" s="1" t="s">
        <v>1761</v>
      </c>
      <c r="T515" s="1"/>
      <c r="U515" s="1" t="s">
        <v>110</v>
      </c>
      <c r="V515" s="1" t="s">
        <v>380</v>
      </c>
      <c r="W515" s="1" t="s">
        <v>919</v>
      </c>
      <c r="X515" s="1" t="s">
        <v>920</v>
      </c>
      <c r="Y515" s="1" t="s">
        <v>920</v>
      </c>
      <c r="Z515" s="1" t="s">
        <v>43</v>
      </c>
      <c r="AA515" s="1"/>
      <c r="AB515" s="1" t="s">
        <v>114</v>
      </c>
      <c r="AC515" s="1" t="s">
        <v>115</v>
      </c>
      <c r="AD515" s="1" t="s">
        <v>43</v>
      </c>
      <c r="AE515" s="1" t="s">
        <v>43</v>
      </c>
      <c r="AF515" s="1"/>
      <c r="AG515" s="1" t="s">
        <v>43</v>
      </c>
      <c r="AH515" s="2">
        <v>46097</v>
      </c>
    </row>
    <row r="516" spans="1:34" x14ac:dyDescent="0.3">
      <c r="A516" s="1">
        <v>3376635</v>
      </c>
      <c r="B516" s="1">
        <v>5.37</v>
      </c>
      <c r="C516" s="1">
        <v>22.9</v>
      </c>
      <c r="D516" s="1">
        <v>24.2</v>
      </c>
      <c r="E516" s="1" t="s">
        <v>43</v>
      </c>
      <c r="F516" s="1">
        <v>0</v>
      </c>
      <c r="G516" s="1" t="s">
        <v>1631</v>
      </c>
      <c r="H516" s="1" t="s">
        <v>1639</v>
      </c>
      <c r="I516" s="1" t="str">
        <f>HYPERLINK("https://www.systembolaget.se/produkt/cider-blanddrycker/skny-btch-3376635/","https://www.systembolaget.se/produkt/cider-blanddrycker/skny-btch-3376635/")</f>
        <v>https://www.systembolaget.se/produkt/cider-blanddrycker/skny-btch-3376635/</v>
      </c>
      <c r="J516" s="1"/>
      <c r="K516" s="1">
        <v>5.37</v>
      </c>
      <c r="L516" s="2">
        <v>46185</v>
      </c>
      <c r="M516" s="1" t="s">
        <v>1880</v>
      </c>
      <c r="N516" s="1">
        <v>0.65</v>
      </c>
      <c r="O516" s="1">
        <v>330</v>
      </c>
      <c r="P516" s="1">
        <v>4.5</v>
      </c>
      <c r="Q516" s="1" t="s">
        <v>157</v>
      </c>
      <c r="R516" s="1" t="s">
        <v>663</v>
      </c>
      <c r="S516" s="1" t="s">
        <v>1634</v>
      </c>
      <c r="T516" s="1"/>
      <c r="U516" s="1" t="s">
        <v>110</v>
      </c>
      <c r="V516" s="1" t="s">
        <v>380</v>
      </c>
      <c r="W516" s="1" t="s">
        <v>1635</v>
      </c>
      <c r="X516" s="1" t="s">
        <v>1637</v>
      </c>
      <c r="Y516" s="1" t="s">
        <v>1637</v>
      </c>
      <c r="Z516" s="1" t="s">
        <v>43</v>
      </c>
      <c r="AA516" s="1"/>
      <c r="AB516" s="1" t="s">
        <v>114</v>
      </c>
      <c r="AC516" s="1" t="s">
        <v>115</v>
      </c>
      <c r="AD516" s="1" t="s">
        <v>43</v>
      </c>
      <c r="AE516" s="1" t="s">
        <v>43</v>
      </c>
      <c r="AF516" s="1">
        <v>4</v>
      </c>
      <c r="AG516" s="1" t="s">
        <v>43</v>
      </c>
      <c r="AH516" s="2">
        <v>46204</v>
      </c>
    </row>
    <row r="517" spans="1:34" x14ac:dyDescent="0.3">
      <c r="A517" s="1">
        <v>3093135</v>
      </c>
      <c r="B517" s="1">
        <v>5.37</v>
      </c>
      <c r="C517" s="1">
        <v>22.9</v>
      </c>
      <c r="D517" s="1">
        <v>24.2</v>
      </c>
      <c r="E517" s="1" t="s">
        <v>43</v>
      </c>
      <c r="F517" s="1">
        <v>0</v>
      </c>
      <c r="G517" s="1" t="s">
        <v>1631</v>
      </c>
      <c r="H517" s="1" t="s">
        <v>1638</v>
      </c>
      <c r="I517" s="1" t="str">
        <f>HYPERLINK("https://www.systembolaget.se/produkt/cider-blanddrycker/skny-btch-3093135/","https://www.systembolaget.se/produkt/cider-blanddrycker/skny-btch-3093135/")</f>
        <v>https://www.systembolaget.se/produkt/cider-blanddrycker/skny-btch-3093135/</v>
      </c>
      <c r="J517" s="1"/>
      <c r="K517" s="1">
        <v>5.37</v>
      </c>
      <c r="L517" s="2">
        <v>46185</v>
      </c>
      <c r="M517" s="1" t="s">
        <v>1880</v>
      </c>
      <c r="N517" s="1">
        <v>0.65</v>
      </c>
      <c r="O517" s="1">
        <v>330</v>
      </c>
      <c r="P517" s="1">
        <v>4.5</v>
      </c>
      <c r="Q517" s="1" t="s">
        <v>157</v>
      </c>
      <c r="R517" s="1" t="s">
        <v>663</v>
      </c>
      <c r="S517" s="1" t="s">
        <v>1634</v>
      </c>
      <c r="T517" s="1"/>
      <c r="U517" s="1" t="s">
        <v>110</v>
      </c>
      <c r="V517" s="1" t="s">
        <v>380</v>
      </c>
      <c r="W517" s="1" t="s">
        <v>1635</v>
      </c>
      <c r="X517" s="1" t="s">
        <v>1636</v>
      </c>
      <c r="Y517" s="1" t="s">
        <v>1637</v>
      </c>
      <c r="Z517" s="1" t="s">
        <v>43</v>
      </c>
      <c r="AA517" s="1"/>
      <c r="AB517" s="1" t="s">
        <v>114</v>
      </c>
      <c r="AC517" s="1" t="s">
        <v>115</v>
      </c>
      <c r="AD517" s="1" t="s">
        <v>43</v>
      </c>
      <c r="AE517" s="1" t="s">
        <v>43</v>
      </c>
      <c r="AF517" s="1">
        <v>4</v>
      </c>
      <c r="AG517" s="1" t="s">
        <v>43</v>
      </c>
      <c r="AH517" s="2">
        <v>46204</v>
      </c>
    </row>
    <row r="518" spans="1:34" x14ac:dyDescent="0.3">
      <c r="A518" s="1">
        <v>3000435</v>
      </c>
      <c r="B518" s="1">
        <v>5.37</v>
      </c>
      <c r="C518" s="1">
        <v>22.9</v>
      </c>
      <c r="D518" s="1">
        <v>24.2</v>
      </c>
      <c r="E518" s="1" t="s">
        <v>43</v>
      </c>
      <c r="F518" s="1">
        <v>0</v>
      </c>
      <c r="G518" s="1" t="s">
        <v>1631</v>
      </c>
      <c r="H518" s="1" t="s">
        <v>1632</v>
      </c>
      <c r="I518" s="1" t="str">
        <f>HYPERLINK("https://www.systembolaget.se/produkt/cider-blanddrycker/skny-btch-3000435/","https://www.systembolaget.se/produkt/cider-blanddrycker/skny-btch-3000435/")</f>
        <v>https://www.systembolaget.se/produkt/cider-blanddrycker/skny-btch-3000435/</v>
      </c>
      <c r="J518" s="1"/>
      <c r="K518" s="1">
        <v>5.37</v>
      </c>
      <c r="L518" s="2">
        <v>46185</v>
      </c>
      <c r="M518" s="1" t="s">
        <v>1880</v>
      </c>
      <c r="N518" s="1">
        <v>0.65</v>
      </c>
      <c r="O518" s="1">
        <v>330</v>
      </c>
      <c r="P518" s="1">
        <v>4.5</v>
      </c>
      <c r="Q518" s="1" t="s">
        <v>157</v>
      </c>
      <c r="R518" s="1" t="s">
        <v>663</v>
      </c>
      <c r="S518" s="1" t="s">
        <v>1634</v>
      </c>
      <c r="T518" s="1"/>
      <c r="U518" s="1" t="s">
        <v>110</v>
      </c>
      <c r="V518" s="1" t="s">
        <v>380</v>
      </c>
      <c r="W518" s="1" t="s">
        <v>1635</v>
      </c>
      <c r="X518" s="1" t="s">
        <v>1636</v>
      </c>
      <c r="Y518" s="1" t="s">
        <v>1637</v>
      </c>
      <c r="Z518" s="1" t="s">
        <v>43</v>
      </c>
      <c r="AA518" s="1"/>
      <c r="AB518" s="1" t="s">
        <v>114</v>
      </c>
      <c r="AC518" s="1" t="s">
        <v>115</v>
      </c>
      <c r="AD518" s="1" t="s">
        <v>43</v>
      </c>
      <c r="AE518" s="1" t="s">
        <v>43</v>
      </c>
      <c r="AF518" s="1">
        <v>4</v>
      </c>
      <c r="AG518" s="1" t="s">
        <v>43</v>
      </c>
      <c r="AH518" s="2">
        <v>46204</v>
      </c>
    </row>
    <row r="519" spans="1:34" x14ac:dyDescent="0.3">
      <c r="A519" s="1">
        <v>7870601</v>
      </c>
      <c r="B519" s="1">
        <v>5.29</v>
      </c>
      <c r="C519" s="1">
        <v>179</v>
      </c>
      <c r="D519" s="1">
        <v>189</v>
      </c>
      <c r="E519" s="1" t="s">
        <v>43</v>
      </c>
      <c r="F519" s="1">
        <v>0</v>
      </c>
      <c r="G519" s="1" t="s">
        <v>1881</v>
      </c>
      <c r="H519" s="1" t="s">
        <v>1882</v>
      </c>
      <c r="I519" s="1" t="str">
        <f>HYPERLINK("https://www.systembolaget.se/produkt/vin/rizieri-langhe-7870601/","https://www.systembolaget.se/produkt/vin/rizieri-langhe-7870601/")</f>
        <v>https://www.systembolaget.se/produkt/vin/rizieri-langhe-7870601/</v>
      </c>
      <c r="J519" s="1"/>
      <c r="K519" s="1">
        <v>5.29</v>
      </c>
      <c r="L519" s="2">
        <v>45978</v>
      </c>
      <c r="M519" s="1" t="s">
        <v>1883</v>
      </c>
      <c r="N519" s="1">
        <v>0.56999999999999995</v>
      </c>
      <c r="O519" s="1">
        <v>750</v>
      </c>
      <c r="P519" s="1">
        <v>13.5</v>
      </c>
      <c r="Q519" s="1" t="s">
        <v>38</v>
      </c>
      <c r="R519" s="1" t="s">
        <v>39</v>
      </c>
      <c r="S519" s="1"/>
      <c r="T519" s="1"/>
      <c r="U519" s="1" t="s">
        <v>53</v>
      </c>
      <c r="V519" s="1" t="s">
        <v>95</v>
      </c>
      <c r="W519" s="1" t="s">
        <v>1884</v>
      </c>
      <c r="X519" s="1" t="s">
        <v>1885</v>
      </c>
      <c r="Y519" s="1" t="s">
        <v>1886</v>
      </c>
      <c r="Z519" s="1" t="s">
        <v>43</v>
      </c>
      <c r="AA519" s="1">
        <v>2024</v>
      </c>
      <c r="AB519" s="1" t="s">
        <v>44</v>
      </c>
      <c r="AC519" s="1" t="s">
        <v>45</v>
      </c>
      <c r="AD519" s="1" t="s">
        <v>46</v>
      </c>
      <c r="AE519" s="1" t="s">
        <v>43</v>
      </c>
      <c r="AF519" s="1"/>
      <c r="AG519" s="1" t="s">
        <v>43</v>
      </c>
      <c r="AH519" s="2">
        <v>46000</v>
      </c>
    </row>
    <row r="520" spans="1:34" x14ac:dyDescent="0.3">
      <c r="A520" s="1">
        <v>5488901</v>
      </c>
      <c r="B520" s="1">
        <v>5.28</v>
      </c>
      <c r="C520" s="1">
        <v>359</v>
      </c>
      <c r="D520" s="1">
        <v>379</v>
      </c>
      <c r="E520" s="1" t="s">
        <v>459</v>
      </c>
      <c r="F520" s="1">
        <v>0</v>
      </c>
      <c r="G520" s="1" t="s">
        <v>1887</v>
      </c>
      <c r="H520" s="1" t="s">
        <v>1888</v>
      </c>
      <c r="I520" s="1" t="str">
        <f>HYPERLINK("https://www.systembolaget.se/produkt/vin/edouard-delaunay-bourgogne-5488901/","https://www.systembolaget.se/produkt/vin/edouard-delaunay-bourgogne-5488901/")</f>
        <v>https://www.systembolaget.se/produkt/vin/edouard-delaunay-bourgogne-5488901/</v>
      </c>
      <c r="J520" s="1">
        <v>5.28</v>
      </c>
      <c r="K520" s="1">
        <v>5.28</v>
      </c>
      <c r="L520" s="2">
        <v>45389</v>
      </c>
      <c r="M520" s="1" t="s">
        <v>1889</v>
      </c>
      <c r="N520" s="1">
        <v>0.26</v>
      </c>
      <c r="O520" s="1">
        <v>750</v>
      </c>
      <c r="P520" s="1">
        <v>12.5</v>
      </c>
      <c r="Q520" s="1" t="s">
        <v>38</v>
      </c>
      <c r="R520" s="1" t="s">
        <v>52</v>
      </c>
      <c r="S520" s="1"/>
      <c r="T520" s="1"/>
      <c r="U520" s="1" t="s">
        <v>101</v>
      </c>
      <c r="V520" s="1" t="s">
        <v>142</v>
      </c>
      <c r="W520" s="1" t="s">
        <v>725</v>
      </c>
      <c r="X520" s="1" t="s">
        <v>1394</v>
      </c>
      <c r="Y520" s="1" t="s">
        <v>1125</v>
      </c>
      <c r="Z520" s="1" t="s">
        <v>43</v>
      </c>
      <c r="AA520" s="1">
        <v>2021</v>
      </c>
      <c r="AB520" s="1" t="s">
        <v>77</v>
      </c>
      <c r="AC520" s="1" t="s">
        <v>45</v>
      </c>
      <c r="AD520" s="1" t="s">
        <v>43</v>
      </c>
      <c r="AE520" s="1" t="s">
        <v>43</v>
      </c>
      <c r="AF520" s="1"/>
      <c r="AG520" s="1" t="s">
        <v>43</v>
      </c>
      <c r="AH520" s="2">
        <v>45168</v>
      </c>
    </row>
    <row r="521" spans="1:34" x14ac:dyDescent="0.3">
      <c r="A521" s="1">
        <v>5574701</v>
      </c>
      <c r="B521" s="1">
        <v>5.28</v>
      </c>
      <c r="C521" s="1">
        <v>359</v>
      </c>
      <c r="D521" s="1">
        <v>379</v>
      </c>
      <c r="E521" s="1" t="s">
        <v>43</v>
      </c>
      <c r="F521" s="1">
        <v>0</v>
      </c>
      <c r="G521" s="1" t="s">
        <v>1394</v>
      </c>
      <c r="H521" s="1" t="s">
        <v>1890</v>
      </c>
      <c r="I521" s="1" t="str">
        <f>HYPERLINK("https://www.systembolaget.se/produkt/vin/edouard-delaunay-5574701/","https://www.systembolaget.se/produkt/vin/edouard-delaunay-5574701/")</f>
        <v>https://www.systembolaget.se/produkt/vin/edouard-delaunay-5574701/</v>
      </c>
      <c r="J521" s="1">
        <v>5.28</v>
      </c>
      <c r="K521" s="1">
        <v>5.28</v>
      </c>
      <c r="L521" s="2">
        <v>45389</v>
      </c>
      <c r="M521" s="1" t="s">
        <v>1889</v>
      </c>
      <c r="N521" s="1">
        <v>0.26</v>
      </c>
      <c r="O521" s="1">
        <v>750</v>
      </c>
      <c r="P521" s="1">
        <v>12.5</v>
      </c>
      <c r="Q521" s="1" t="s">
        <v>38</v>
      </c>
      <c r="R521" s="1" t="s">
        <v>39</v>
      </c>
      <c r="S521" s="1"/>
      <c r="T521" s="1"/>
      <c r="U521" s="1" t="s">
        <v>101</v>
      </c>
      <c r="V521" s="1" t="s">
        <v>142</v>
      </c>
      <c r="W521" s="1" t="s">
        <v>725</v>
      </c>
      <c r="X521" s="1" t="s">
        <v>1394</v>
      </c>
      <c r="Y521" s="1" t="s">
        <v>1125</v>
      </c>
      <c r="Z521" s="1" t="s">
        <v>43</v>
      </c>
      <c r="AA521" s="1">
        <v>2021</v>
      </c>
      <c r="AB521" s="1" t="s">
        <v>77</v>
      </c>
      <c r="AC521" s="1" t="s">
        <v>45</v>
      </c>
      <c r="AD521" s="1" t="s">
        <v>43</v>
      </c>
      <c r="AE521" s="1" t="s">
        <v>43</v>
      </c>
      <c r="AF521" s="1"/>
      <c r="AG521" s="1" t="s">
        <v>43</v>
      </c>
      <c r="AH521" s="2">
        <v>45168</v>
      </c>
    </row>
    <row r="522" spans="1:34" x14ac:dyDescent="0.3">
      <c r="A522" s="1">
        <v>5345701</v>
      </c>
      <c r="B522" s="1">
        <v>5.27</v>
      </c>
      <c r="C522" s="1">
        <v>539</v>
      </c>
      <c r="D522" s="1">
        <v>569</v>
      </c>
      <c r="E522" s="1" t="s">
        <v>43</v>
      </c>
      <c r="F522" s="1">
        <v>0</v>
      </c>
      <c r="G522" s="1" t="s">
        <v>1891</v>
      </c>
      <c r="H522" s="1" t="s">
        <v>1892</v>
      </c>
      <c r="I522" s="1" t="str">
        <f>HYPERLINK("https://www.systembolaget.se/produkt/sprit/caisteal-chamuis-5345701/","https://www.systembolaget.se/produkt/sprit/caisteal-chamuis-5345701/")</f>
        <v>https://www.systembolaget.se/produkt/sprit/caisteal-chamuis-5345701/</v>
      </c>
      <c r="J522" s="1">
        <v>5.27</v>
      </c>
      <c r="K522" s="1">
        <v>5.27</v>
      </c>
      <c r="L522" s="2">
        <v>45389</v>
      </c>
      <c r="M522" s="1" t="s">
        <v>1893</v>
      </c>
      <c r="N522" s="1">
        <v>0.6</v>
      </c>
      <c r="O522" s="1">
        <v>700</v>
      </c>
      <c r="P522" s="1">
        <v>46</v>
      </c>
      <c r="Q522" s="1" t="s">
        <v>308</v>
      </c>
      <c r="R522" s="1" t="s">
        <v>309</v>
      </c>
      <c r="S522" s="1" t="s">
        <v>318</v>
      </c>
      <c r="T522" s="1"/>
      <c r="U522" s="1" t="s">
        <v>253</v>
      </c>
      <c r="V522" s="1"/>
      <c r="W522" s="1"/>
      <c r="X522" s="1" t="s">
        <v>1510</v>
      </c>
      <c r="Y522" s="1" t="s">
        <v>980</v>
      </c>
      <c r="Z522" s="1" t="s">
        <v>43</v>
      </c>
      <c r="AA522" s="1"/>
      <c r="AB522" s="1" t="s">
        <v>44</v>
      </c>
      <c r="AC522" s="1" t="s">
        <v>45</v>
      </c>
      <c r="AD522" s="1" t="s">
        <v>43</v>
      </c>
      <c r="AE522" s="1" t="s">
        <v>43</v>
      </c>
      <c r="AF522" s="1"/>
      <c r="AG522" s="1" t="s">
        <v>43</v>
      </c>
      <c r="AH522" s="2">
        <v>45061</v>
      </c>
    </row>
    <row r="523" spans="1:34" x14ac:dyDescent="0.3">
      <c r="A523" s="1">
        <v>7255001</v>
      </c>
      <c r="B523" s="1">
        <v>5.27</v>
      </c>
      <c r="C523" s="1">
        <v>899</v>
      </c>
      <c r="D523" s="1">
        <v>949</v>
      </c>
      <c r="E523" s="1" t="s">
        <v>43</v>
      </c>
      <c r="F523" s="1">
        <v>0</v>
      </c>
      <c r="G523" s="1" t="s">
        <v>1894</v>
      </c>
      <c r="H523" s="1" t="s">
        <v>1540</v>
      </c>
      <c r="I523" s="1" t="str">
        <f>HYPERLINK("https://www.systembolaget.se/produkt/vin/chablis-grand-cru-les-clos-7255001/","https://www.systembolaget.se/produkt/vin/chablis-grand-cru-les-clos-7255001/")</f>
        <v>https://www.systembolaget.se/produkt/vin/chablis-grand-cru-les-clos-7255001/</v>
      </c>
      <c r="J523" s="1">
        <v>5.27</v>
      </c>
      <c r="K523" s="1">
        <v>5.27</v>
      </c>
      <c r="L523" s="2">
        <v>45516</v>
      </c>
      <c r="M523" s="1" t="s">
        <v>1895</v>
      </c>
      <c r="N523" s="1">
        <v>0.11</v>
      </c>
      <c r="O523" s="1">
        <v>750</v>
      </c>
      <c r="P523" s="1">
        <v>13</v>
      </c>
      <c r="Q523" s="1" t="s">
        <v>38</v>
      </c>
      <c r="R523" s="1" t="s">
        <v>39</v>
      </c>
      <c r="S523" s="1"/>
      <c r="T523" s="1"/>
      <c r="U523" s="1" t="s">
        <v>101</v>
      </c>
      <c r="V523" s="1" t="s">
        <v>142</v>
      </c>
      <c r="W523" s="1" t="s">
        <v>1542</v>
      </c>
      <c r="X523" s="1" t="s">
        <v>1540</v>
      </c>
      <c r="Y523" s="1" t="s">
        <v>678</v>
      </c>
      <c r="Z523" s="1" t="s">
        <v>43</v>
      </c>
      <c r="AA523" s="1">
        <v>2022</v>
      </c>
      <c r="AB523" s="1" t="s">
        <v>44</v>
      </c>
      <c r="AC523" s="1" t="s">
        <v>45</v>
      </c>
      <c r="AD523" s="1" t="s">
        <v>43</v>
      </c>
      <c r="AE523" s="1" t="s">
        <v>43</v>
      </c>
      <c r="AF523" s="1"/>
      <c r="AG523" s="1" t="s">
        <v>43</v>
      </c>
      <c r="AH523" s="2">
        <v>45523</v>
      </c>
    </row>
    <row r="524" spans="1:34" x14ac:dyDescent="0.3">
      <c r="A524" s="1">
        <v>7663901</v>
      </c>
      <c r="B524" s="1">
        <v>5.27</v>
      </c>
      <c r="C524" s="1">
        <v>899</v>
      </c>
      <c r="D524" s="1">
        <v>949</v>
      </c>
      <c r="E524" s="1" t="s">
        <v>43</v>
      </c>
      <c r="F524" s="1">
        <v>0</v>
      </c>
      <c r="G524" s="1" t="s">
        <v>1439</v>
      </c>
      <c r="H524" s="1" t="s">
        <v>1896</v>
      </c>
      <c r="I524" s="1" t="str">
        <f>HYPERLINK("https://www.systembolaget.se/produkt/vin/martin-muthenthaler-7663901/","https://www.systembolaget.se/produkt/vin/martin-muthenthaler-7663901/")</f>
        <v>https://www.systembolaget.se/produkt/vin/martin-muthenthaler-7663901/</v>
      </c>
      <c r="J524" s="1">
        <v>5.17</v>
      </c>
      <c r="K524" s="1">
        <v>5.27</v>
      </c>
      <c r="L524" s="2">
        <v>45971</v>
      </c>
      <c r="M524" s="1" t="s">
        <v>1897</v>
      </c>
      <c r="N524" s="1">
        <v>0.11</v>
      </c>
      <c r="O524" s="1">
        <v>750</v>
      </c>
      <c r="P524" s="1">
        <v>13.5</v>
      </c>
      <c r="Q524" s="1" t="s">
        <v>38</v>
      </c>
      <c r="R524" s="1" t="s">
        <v>39</v>
      </c>
      <c r="S524" s="1"/>
      <c r="T524" s="1"/>
      <c r="U524" s="1" t="s">
        <v>295</v>
      </c>
      <c r="V524" s="1" t="s">
        <v>296</v>
      </c>
      <c r="W524" s="1" t="s">
        <v>1442</v>
      </c>
      <c r="X524" s="1" t="s">
        <v>1439</v>
      </c>
      <c r="Y524" s="1" t="s">
        <v>905</v>
      </c>
      <c r="Z524" s="1" t="s">
        <v>43</v>
      </c>
      <c r="AA524" s="1">
        <v>2017</v>
      </c>
      <c r="AB524" s="1" t="s">
        <v>44</v>
      </c>
      <c r="AC524" s="1" t="s">
        <v>45</v>
      </c>
      <c r="AD524" s="1" t="s">
        <v>43</v>
      </c>
      <c r="AE524" s="1" t="s">
        <v>43</v>
      </c>
      <c r="AF524" s="1"/>
      <c r="AG524" s="1" t="s">
        <v>43</v>
      </c>
      <c r="AH524" s="2">
        <v>45978</v>
      </c>
    </row>
    <row r="525" spans="1:34" x14ac:dyDescent="0.3">
      <c r="A525" s="1">
        <v>7191901</v>
      </c>
      <c r="B525" s="1">
        <v>5.25</v>
      </c>
      <c r="C525" s="1">
        <v>379</v>
      </c>
      <c r="D525" s="1">
        <v>400</v>
      </c>
      <c r="E525" s="1" t="s">
        <v>43</v>
      </c>
      <c r="F525" s="1">
        <v>0</v>
      </c>
      <c r="G525" s="1" t="s">
        <v>1898</v>
      </c>
      <c r="H525" s="1" t="s">
        <v>1899</v>
      </c>
      <c r="I525" s="1" t="str">
        <f>HYPERLINK("https://www.systembolaget.se/produkt/vin/altitude-7191901/","https://www.systembolaget.se/produkt/vin/altitude-7191901/")</f>
        <v>https://www.systembolaget.se/produkt/vin/altitude-7191901/</v>
      </c>
      <c r="J525" s="1">
        <v>5.01</v>
      </c>
      <c r="K525" s="1">
        <v>5.25</v>
      </c>
      <c r="L525" s="2">
        <v>45642</v>
      </c>
      <c r="M525" s="1" t="s">
        <v>1900</v>
      </c>
      <c r="N525" s="1">
        <v>0.26</v>
      </c>
      <c r="O525" s="1">
        <v>750</v>
      </c>
      <c r="P525" s="1">
        <v>13</v>
      </c>
      <c r="Q525" s="1" t="s">
        <v>38</v>
      </c>
      <c r="R525" s="1" t="s">
        <v>52</v>
      </c>
      <c r="S525" s="1"/>
      <c r="T525" s="1"/>
      <c r="U525" s="1" t="s">
        <v>272</v>
      </c>
      <c r="V525" s="1"/>
      <c r="W525" s="1"/>
      <c r="X525" s="1" t="s">
        <v>1901</v>
      </c>
      <c r="Y525" s="1" t="s">
        <v>1902</v>
      </c>
      <c r="Z525" s="1" t="s">
        <v>43</v>
      </c>
      <c r="AA525" s="1">
        <v>2022</v>
      </c>
      <c r="AB525" s="1" t="s">
        <v>44</v>
      </c>
      <c r="AC525" s="1" t="s">
        <v>45</v>
      </c>
      <c r="AD525" s="1" t="s">
        <v>46</v>
      </c>
      <c r="AE525" s="1" t="s">
        <v>43</v>
      </c>
      <c r="AF525" s="1"/>
      <c r="AG525" s="1" t="s">
        <v>43</v>
      </c>
      <c r="AH525" s="2">
        <v>45649</v>
      </c>
    </row>
    <row r="526" spans="1:34" x14ac:dyDescent="0.3">
      <c r="A526" s="1">
        <v>7468301</v>
      </c>
      <c r="B526" s="1">
        <v>5.22</v>
      </c>
      <c r="C526" s="1">
        <v>109</v>
      </c>
      <c r="D526" s="1">
        <v>115</v>
      </c>
      <c r="E526" s="1" t="s">
        <v>43</v>
      </c>
      <c r="F526" s="1">
        <v>0</v>
      </c>
      <c r="G526" s="1" t="s">
        <v>1903</v>
      </c>
      <c r="H526" s="1" t="s">
        <v>1904</v>
      </c>
      <c r="I526" s="1" t="str">
        <f>HYPERLINK("https://www.systembolaget.se/produkt/vin/chateau-vieira-7468301/","https://www.systembolaget.se/produkt/vin/chateau-vieira-7468301/")</f>
        <v>https://www.systembolaget.se/produkt/vin/chateau-vieira-7468301/</v>
      </c>
      <c r="J526" s="1">
        <v>5.22</v>
      </c>
      <c r="K526" s="1">
        <v>5.22</v>
      </c>
      <c r="L526" s="2">
        <v>45813</v>
      </c>
      <c r="M526" s="1" t="s">
        <v>1905</v>
      </c>
      <c r="N526" s="1">
        <v>0.89</v>
      </c>
      <c r="O526" s="1">
        <v>750</v>
      </c>
      <c r="P526" s="1">
        <v>13</v>
      </c>
      <c r="Q526" s="1" t="s">
        <v>38</v>
      </c>
      <c r="R526" s="1" t="s">
        <v>52</v>
      </c>
      <c r="S526" s="1" t="s">
        <v>386</v>
      </c>
      <c r="T526" s="1"/>
      <c r="U526" s="1" t="s">
        <v>101</v>
      </c>
      <c r="V526" s="1" t="s">
        <v>371</v>
      </c>
      <c r="W526" s="1" t="s">
        <v>1904</v>
      </c>
      <c r="X526" s="1" t="s">
        <v>1906</v>
      </c>
      <c r="Y526" s="1" t="s">
        <v>334</v>
      </c>
      <c r="Z526" s="1" t="s">
        <v>43</v>
      </c>
      <c r="AA526" s="1">
        <v>2014</v>
      </c>
      <c r="AB526" s="1" t="s">
        <v>77</v>
      </c>
      <c r="AC526" s="1" t="s">
        <v>90</v>
      </c>
      <c r="AD526" s="1" t="s">
        <v>43</v>
      </c>
      <c r="AE526" s="1" t="s">
        <v>43</v>
      </c>
      <c r="AF526" s="1">
        <v>2</v>
      </c>
      <c r="AG526" s="1" t="s">
        <v>43</v>
      </c>
      <c r="AH526" s="2">
        <v>45796</v>
      </c>
    </row>
    <row r="527" spans="1:34" x14ac:dyDescent="0.3">
      <c r="A527" s="1">
        <v>3345515</v>
      </c>
      <c r="B527" s="1">
        <v>5.19</v>
      </c>
      <c r="C527" s="1">
        <v>25.6</v>
      </c>
      <c r="D527" s="1">
        <v>27</v>
      </c>
      <c r="E527" s="1" t="s">
        <v>43</v>
      </c>
      <c r="F527" s="1">
        <v>0</v>
      </c>
      <c r="G527" s="1" t="s">
        <v>1907</v>
      </c>
      <c r="H527" s="1" t="s">
        <v>1908</v>
      </c>
      <c r="I527" s="1" t="str">
        <f>HYPERLINK("https://www.systembolaget.se/produkt/ol/tva-feta-grisar-3345515/","https://www.systembolaget.se/produkt/ol/tva-feta-grisar-3345515/")</f>
        <v>https://www.systembolaget.se/produkt/ol/tva-feta-grisar-3345515/</v>
      </c>
      <c r="J527" s="1">
        <v>20</v>
      </c>
      <c r="K527" s="1">
        <v>5.19</v>
      </c>
      <c r="L527" s="2">
        <v>45389</v>
      </c>
      <c r="M527" s="1" t="s">
        <v>1909</v>
      </c>
      <c r="N527" s="1">
        <v>0.71</v>
      </c>
      <c r="O527" s="1">
        <v>330</v>
      </c>
      <c r="P527" s="1">
        <v>5.5</v>
      </c>
      <c r="Q527" s="1" t="s">
        <v>107</v>
      </c>
      <c r="R527" s="1" t="s">
        <v>108</v>
      </c>
      <c r="S527" s="1" t="s">
        <v>693</v>
      </c>
      <c r="T527" s="1"/>
      <c r="U527" s="1" t="s">
        <v>110</v>
      </c>
      <c r="V527" s="1" t="s">
        <v>136</v>
      </c>
      <c r="W527" s="1" t="s">
        <v>137</v>
      </c>
      <c r="X527" s="1" t="s">
        <v>1907</v>
      </c>
      <c r="Y527" s="1" t="s">
        <v>1910</v>
      </c>
      <c r="Z527" s="1" t="s">
        <v>43</v>
      </c>
      <c r="AA527" s="1"/>
      <c r="AB527" s="1" t="s">
        <v>114</v>
      </c>
      <c r="AC527" s="1" t="s">
        <v>115</v>
      </c>
      <c r="AD527" s="1" t="s">
        <v>43</v>
      </c>
      <c r="AE527" s="1" t="s">
        <v>43</v>
      </c>
      <c r="AF527" s="1"/>
      <c r="AG527" s="1" t="s">
        <v>43</v>
      </c>
      <c r="AH527" s="2">
        <v>43525</v>
      </c>
    </row>
    <row r="528" spans="1:34" x14ac:dyDescent="0.3">
      <c r="A528" s="1">
        <v>7868601</v>
      </c>
      <c r="B528" s="1">
        <v>5.13</v>
      </c>
      <c r="C528" s="1">
        <v>499</v>
      </c>
      <c r="D528" s="1">
        <v>526</v>
      </c>
      <c r="E528" s="1" t="s">
        <v>43</v>
      </c>
      <c r="F528" s="1">
        <v>0</v>
      </c>
      <c r="G528" s="1" t="s">
        <v>1911</v>
      </c>
      <c r="H528" s="1" t="s">
        <v>1912</v>
      </c>
      <c r="I528" s="1" t="str">
        <f>HYPERLINK("https://www.systembolaget.se/produkt/vin/pazo-de-la-cuesta-7868601/","https://www.systembolaget.se/produkt/vin/pazo-de-la-cuesta-7868601/")</f>
        <v>https://www.systembolaget.se/produkt/vin/pazo-de-la-cuesta-7868601/</v>
      </c>
      <c r="J528" s="1">
        <v>4.95</v>
      </c>
      <c r="K528" s="1">
        <v>5.13</v>
      </c>
      <c r="L528" s="2">
        <v>45971</v>
      </c>
      <c r="M528" s="1" t="s">
        <v>1913</v>
      </c>
      <c r="N528" s="1">
        <v>0.2</v>
      </c>
      <c r="O528" s="1">
        <v>750</v>
      </c>
      <c r="P528" s="1">
        <v>13.5</v>
      </c>
      <c r="Q528" s="1" t="s">
        <v>38</v>
      </c>
      <c r="R528" s="1" t="s">
        <v>39</v>
      </c>
      <c r="S528" s="1"/>
      <c r="T528" s="1"/>
      <c r="U528" s="1" t="s">
        <v>164</v>
      </c>
      <c r="V528" s="1"/>
      <c r="W528" s="1"/>
      <c r="X528" s="1" t="s">
        <v>1911</v>
      </c>
      <c r="Y528" s="1" t="s">
        <v>905</v>
      </c>
      <c r="Z528" s="1" t="s">
        <v>43</v>
      </c>
      <c r="AA528" s="1">
        <v>2022</v>
      </c>
      <c r="AB528" s="1" t="s">
        <v>44</v>
      </c>
      <c r="AC528" s="1" t="s">
        <v>45</v>
      </c>
      <c r="AD528" s="1" t="s">
        <v>43</v>
      </c>
      <c r="AE528" s="1" t="s">
        <v>43</v>
      </c>
      <c r="AF528" s="1"/>
      <c r="AG528" s="1" t="s">
        <v>43</v>
      </c>
      <c r="AH528" s="2">
        <v>45978</v>
      </c>
    </row>
    <row r="529" spans="1:34" x14ac:dyDescent="0.3">
      <c r="A529" s="1">
        <v>1039815</v>
      </c>
      <c r="B529" s="1">
        <v>5.05</v>
      </c>
      <c r="C529" s="1">
        <v>18.8</v>
      </c>
      <c r="D529" s="1">
        <v>19.8</v>
      </c>
      <c r="E529" s="1" t="s">
        <v>43</v>
      </c>
      <c r="F529" s="1">
        <v>0</v>
      </c>
      <c r="G529" s="1" t="s">
        <v>1914</v>
      </c>
      <c r="H529" s="1" t="s">
        <v>1915</v>
      </c>
      <c r="I529" s="1" t="str">
        <f>HYPERLINK("https://www.systembolaget.se/produkt/alkoholfritt/vega-1039815/","https://www.systembolaget.se/produkt/alkoholfritt/vega-1039815/")</f>
        <v>https://www.systembolaget.se/produkt/alkoholfritt/vega-1039815/</v>
      </c>
      <c r="J529" s="1">
        <v>5.53</v>
      </c>
      <c r="K529" s="1">
        <v>-1.08</v>
      </c>
      <c r="L529" s="2">
        <v>45516</v>
      </c>
      <c r="M529" s="1" t="s">
        <v>1916</v>
      </c>
      <c r="N529" s="1">
        <v>0.09</v>
      </c>
      <c r="O529" s="1">
        <v>330</v>
      </c>
      <c r="P529" s="1">
        <v>0.5</v>
      </c>
      <c r="Q529" s="1" t="s">
        <v>1579</v>
      </c>
      <c r="R529" s="1" t="s">
        <v>107</v>
      </c>
      <c r="S529" s="1" t="s">
        <v>108</v>
      </c>
      <c r="T529" s="1" t="s">
        <v>790</v>
      </c>
      <c r="U529" s="1" t="s">
        <v>110</v>
      </c>
      <c r="V529" s="1"/>
      <c r="W529" s="1"/>
      <c r="X529" s="1" t="s">
        <v>1917</v>
      </c>
      <c r="Y529" s="1" t="s">
        <v>1918</v>
      </c>
      <c r="Z529" s="1" t="s">
        <v>43</v>
      </c>
      <c r="AA529" s="1"/>
      <c r="AB529" s="1" t="s">
        <v>114</v>
      </c>
      <c r="AC529" s="1" t="s">
        <v>1919</v>
      </c>
      <c r="AD529" s="1" t="s">
        <v>43</v>
      </c>
      <c r="AE529" s="1" t="s">
        <v>43</v>
      </c>
      <c r="AF529" s="1"/>
      <c r="AG529" s="1" t="s">
        <v>43</v>
      </c>
      <c r="AH529" s="2">
        <v>46266</v>
      </c>
    </row>
    <row r="530" spans="1:34" x14ac:dyDescent="0.3">
      <c r="A530" s="1">
        <v>1279708</v>
      </c>
      <c r="B530" s="1">
        <v>5.03</v>
      </c>
      <c r="C530" s="1">
        <v>189</v>
      </c>
      <c r="D530" s="1">
        <v>199</v>
      </c>
      <c r="E530" s="1" t="s">
        <v>43</v>
      </c>
      <c r="F530" s="1">
        <v>0</v>
      </c>
      <c r="G530" s="1" t="s">
        <v>1920</v>
      </c>
      <c r="H530" s="1" t="s">
        <v>1921</v>
      </c>
      <c r="I530" s="1" t="str">
        <f>HYPERLINK("https://www.systembolaget.se/produkt/vin/castillo-de-gredos-1279708/","https://www.systembolaget.se/produkt/vin/castillo-de-gredos-1279708/")</f>
        <v>https://www.systembolaget.se/produkt/vin/castillo-de-gredos-1279708/</v>
      </c>
      <c r="J530" s="1">
        <v>3.57</v>
      </c>
      <c r="K530" s="1">
        <v>5.03</v>
      </c>
      <c r="L530" s="2">
        <v>45441</v>
      </c>
      <c r="M530" s="1" t="s">
        <v>1922</v>
      </c>
      <c r="N530" s="1">
        <v>2.06</v>
      </c>
      <c r="O530" s="1">
        <v>3000</v>
      </c>
      <c r="P530" s="1">
        <v>13</v>
      </c>
      <c r="Q530" s="1" t="s">
        <v>38</v>
      </c>
      <c r="R530" s="1" t="s">
        <v>52</v>
      </c>
      <c r="S530" s="1" t="s">
        <v>72</v>
      </c>
      <c r="T530" s="1"/>
      <c r="U530" s="1" t="s">
        <v>164</v>
      </c>
      <c r="V530" s="1"/>
      <c r="W530" s="1"/>
      <c r="X530" s="1" t="s">
        <v>1923</v>
      </c>
      <c r="Y530" s="1" t="s">
        <v>364</v>
      </c>
      <c r="Z530" s="1" t="s">
        <v>43</v>
      </c>
      <c r="AA530" s="1"/>
      <c r="AB530" s="1" t="s">
        <v>654</v>
      </c>
      <c r="AC530" s="1" t="s">
        <v>90</v>
      </c>
      <c r="AD530" s="1" t="s">
        <v>43</v>
      </c>
      <c r="AE530" s="1" t="s">
        <v>43</v>
      </c>
      <c r="AF530" s="1">
        <v>2</v>
      </c>
      <c r="AG530" s="1" t="s">
        <v>43</v>
      </c>
      <c r="AH530" s="2">
        <v>36563</v>
      </c>
    </row>
    <row r="531" spans="1:34" x14ac:dyDescent="0.3">
      <c r="A531" s="1">
        <v>191715</v>
      </c>
      <c r="B531" s="1">
        <v>5.03</v>
      </c>
      <c r="C531" s="1">
        <v>18.899999999999999</v>
      </c>
      <c r="D531" s="1">
        <v>19.899999999999999</v>
      </c>
      <c r="E531" s="1" t="s">
        <v>43</v>
      </c>
      <c r="F531" s="1">
        <v>0</v>
      </c>
      <c r="G531" s="1" t="s">
        <v>1924</v>
      </c>
      <c r="H531" s="1" t="s">
        <v>1925</v>
      </c>
      <c r="I531" s="1" t="str">
        <f>HYPERLINK("https://www.systembolaget.se/produkt/alkoholfritt/ish-lime-daiquiri-191715/","https://www.systembolaget.se/produkt/alkoholfritt/ish-lime-daiquiri-191715/")</f>
        <v>https://www.systembolaget.se/produkt/alkoholfritt/ish-lime-daiquiri-191715/</v>
      </c>
      <c r="J531" s="1">
        <v>12.09</v>
      </c>
      <c r="K531" s="1">
        <v>5.03</v>
      </c>
      <c r="L531" s="2">
        <v>45535</v>
      </c>
      <c r="M531" s="1" t="s">
        <v>1926</v>
      </c>
      <c r="N531" s="1">
        <v>0.05</v>
      </c>
      <c r="O531" s="1">
        <v>250</v>
      </c>
      <c r="P531" s="1">
        <v>0.4</v>
      </c>
      <c r="Q531" s="1" t="s">
        <v>1579</v>
      </c>
      <c r="R531" s="1" t="s">
        <v>1927</v>
      </c>
      <c r="S531" s="1"/>
      <c r="T531" s="1"/>
      <c r="U531" s="1" t="s">
        <v>295</v>
      </c>
      <c r="V531" s="1"/>
      <c r="W531" s="1"/>
      <c r="X531" s="1" t="s">
        <v>1928</v>
      </c>
      <c r="Y531" s="1" t="s">
        <v>496</v>
      </c>
      <c r="Z531" s="1" t="s">
        <v>43</v>
      </c>
      <c r="AA531" s="1"/>
      <c r="AB531" s="1" t="s">
        <v>114</v>
      </c>
      <c r="AC531" s="1" t="s">
        <v>1919</v>
      </c>
      <c r="AD531" s="1" t="s">
        <v>43</v>
      </c>
      <c r="AE531" s="1" t="s">
        <v>43</v>
      </c>
      <c r="AF531" s="1">
        <v>96</v>
      </c>
      <c r="AG531" s="1" t="s">
        <v>43</v>
      </c>
      <c r="AH531" s="2">
        <v>46174</v>
      </c>
    </row>
    <row r="532" spans="1:34" x14ac:dyDescent="0.3">
      <c r="A532" s="1">
        <v>213207</v>
      </c>
      <c r="B532" s="1">
        <v>5.03</v>
      </c>
      <c r="C532" s="1">
        <v>189</v>
      </c>
      <c r="D532" s="1">
        <v>199</v>
      </c>
      <c r="E532" s="1" t="s">
        <v>43</v>
      </c>
      <c r="F532" s="1">
        <v>0</v>
      </c>
      <c r="G532" s="1" t="s">
        <v>1929</v>
      </c>
      <c r="H532" s="1" t="s">
        <v>1930</v>
      </c>
      <c r="I532" s="1" t="str">
        <f>HYPERLINK("https://www.systembolaget.se/produkt/vin/in-the-mood-for-213207/","https://www.systembolaget.se/produkt/vin/in-the-mood-for-213207/")</f>
        <v>https://www.systembolaget.se/produkt/vin/in-the-mood-for-213207/</v>
      </c>
      <c r="J532" s="1">
        <v>5.03</v>
      </c>
      <c r="K532" s="1">
        <v>5.03</v>
      </c>
      <c r="L532" s="2">
        <v>45974</v>
      </c>
      <c r="M532" s="1" t="s">
        <v>1931</v>
      </c>
      <c r="N532" s="1">
        <v>1.48</v>
      </c>
      <c r="O532" s="1">
        <v>2000</v>
      </c>
      <c r="P532" s="1">
        <v>14</v>
      </c>
      <c r="Q532" s="1" t="s">
        <v>38</v>
      </c>
      <c r="R532" s="1" t="s">
        <v>52</v>
      </c>
      <c r="S532" s="1" t="s">
        <v>84</v>
      </c>
      <c r="T532" s="1"/>
      <c r="U532" s="1" t="s">
        <v>289</v>
      </c>
      <c r="V532" s="1" t="s">
        <v>290</v>
      </c>
      <c r="W532" s="1" t="s">
        <v>291</v>
      </c>
      <c r="X532" s="1" t="s">
        <v>1932</v>
      </c>
      <c r="Y532" s="1" t="s">
        <v>188</v>
      </c>
      <c r="Z532" s="1" t="s">
        <v>43</v>
      </c>
      <c r="AA532" s="1">
        <v>2025</v>
      </c>
      <c r="AB532" s="1" t="s">
        <v>654</v>
      </c>
      <c r="AC532" s="1" t="s">
        <v>90</v>
      </c>
      <c r="AD532" s="1" t="s">
        <v>43</v>
      </c>
      <c r="AE532" s="1" t="s">
        <v>43</v>
      </c>
      <c r="AF532" s="1">
        <v>2</v>
      </c>
      <c r="AG532" s="1" t="s">
        <v>46</v>
      </c>
      <c r="AH532" s="2">
        <v>45992</v>
      </c>
    </row>
    <row r="533" spans="1:34" x14ac:dyDescent="0.3">
      <c r="A533" s="1">
        <v>3058215</v>
      </c>
      <c r="B533" s="1">
        <v>5.03</v>
      </c>
      <c r="C533" s="1">
        <v>18.899999999999999</v>
      </c>
      <c r="D533" s="1">
        <v>19.899999999999999</v>
      </c>
      <c r="E533" s="1" t="s">
        <v>43</v>
      </c>
      <c r="F533" s="1">
        <v>0</v>
      </c>
      <c r="G533" s="1" t="s">
        <v>1933</v>
      </c>
      <c r="H533" s="1" t="s">
        <v>1934</v>
      </c>
      <c r="I533" s="1" t="str">
        <f>HYPERLINK("https://www.systembolaget.se/produkt/ol/nya-carnegiebryggeriet-3058215/","https://www.systembolaget.se/produkt/ol/nya-carnegiebryggeriet-3058215/")</f>
        <v>https://www.systembolaget.se/produkt/ol/nya-carnegiebryggeriet-3058215/</v>
      </c>
      <c r="J533" s="1">
        <v>5.03</v>
      </c>
      <c r="K533" s="1">
        <v>5.03</v>
      </c>
      <c r="L533" s="2">
        <v>45389</v>
      </c>
      <c r="M533" s="1" t="s">
        <v>1935</v>
      </c>
      <c r="N533" s="1">
        <v>0.79</v>
      </c>
      <c r="O533" s="1">
        <v>330</v>
      </c>
      <c r="P533" s="1">
        <v>4.5</v>
      </c>
      <c r="Q533" s="1" t="s">
        <v>107</v>
      </c>
      <c r="R533" s="1" t="s">
        <v>108</v>
      </c>
      <c r="S533" s="1" t="s">
        <v>252</v>
      </c>
      <c r="T533" s="1"/>
      <c r="U533" s="1" t="s">
        <v>110</v>
      </c>
      <c r="V533" s="1" t="s">
        <v>380</v>
      </c>
      <c r="W533" s="1" t="s">
        <v>919</v>
      </c>
      <c r="X533" s="1" t="s">
        <v>1933</v>
      </c>
      <c r="Y533" s="1" t="s">
        <v>1537</v>
      </c>
      <c r="Z533" s="1" t="s">
        <v>43</v>
      </c>
      <c r="AA533" s="1"/>
      <c r="AB533" s="1" t="s">
        <v>114</v>
      </c>
      <c r="AC533" s="1" t="s">
        <v>90</v>
      </c>
      <c r="AD533" s="1" t="s">
        <v>43</v>
      </c>
      <c r="AE533" s="1" t="s">
        <v>43</v>
      </c>
      <c r="AF533" s="1"/>
      <c r="AG533" s="1" t="s">
        <v>43</v>
      </c>
      <c r="AH533" s="2">
        <v>44991</v>
      </c>
    </row>
    <row r="534" spans="1:34" x14ac:dyDescent="0.3">
      <c r="A534" s="1">
        <v>3058235</v>
      </c>
      <c r="B534" s="1">
        <v>5.03</v>
      </c>
      <c r="C534" s="1">
        <v>18.899999999999999</v>
      </c>
      <c r="D534" s="1">
        <v>19.899999999999999</v>
      </c>
      <c r="E534" s="1" t="s">
        <v>43</v>
      </c>
      <c r="F534" s="1">
        <v>0</v>
      </c>
      <c r="G534" s="1" t="s">
        <v>1933</v>
      </c>
      <c r="H534" s="1" t="s">
        <v>1934</v>
      </c>
      <c r="I534" s="1" t="str">
        <f>HYPERLINK("https://www.systembolaget.se/produkt/ol/nya-carnegiebryggeriet-3058235/","https://www.systembolaget.se/produkt/ol/nya-carnegiebryggeriet-3058235/")</f>
        <v>https://www.systembolaget.se/produkt/ol/nya-carnegiebryggeriet-3058235/</v>
      </c>
      <c r="J534" s="1"/>
      <c r="K534" s="1">
        <v>5.03</v>
      </c>
      <c r="L534" s="2">
        <v>46075</v>
      </c>
      <c r="M534" s="1" t="s">
        <v>1936</v>
      </c>
      <c r="N534" s="1">
        <v>0.79</v>
      </c>
      <c r="O534" s="1">
        <v>330</v>
      </c>
      <c r="P534" s="1">
        <v>4.5</v>
      </c>
      <c r="Q534" s="1" t="s">
        <v>107</v>
      </c>
      <c r="R534" s="1" t="s">
        <v>108</v>
      </c>
      <c r="S534" s="1" t="s">
        <v>252</v>
      </c>
      <c r="T534" s="1"/>
      <c r="U534" s="1" t="s">
        <v>110</v>
      </c>
      <c r="V534" s="1" t="s">
        <v>380</v>
      </c>
      <c r="W534" s="1" t="s">
        <v>919</v>
      </c>
      <c r="X534" s="1" t="s">
        <v>1933</v>
      </c>
      <c r="Y534" s="1" t="s">
        <v>1537</v>
      </c>
      <c r="Z534" s="1" t="s">
        <v>43</v>
      </c>
      <c r="AA534" s="1"/>
      <c r="AB534" s="1" t="s">
        <v>114</v>
      </c>
      <c r="AC534" s="1" t="s">
        <v>90</v>
      </c>
      <c r="AD534" s="1" t="s">
        <v>43</v>
      </c>
      <c r="AE534" s="1" t="s">
        <v>43</v>
      </c>
      <c r="AF534" s="1"/>
      <c r="AG534" s="1" t="s">
        <v>43</v>
      </c>
      <c r="AH534" s="2">
        <v>46082</v>
      </c>
    </row>
    <row r="535" spans="1:34" x14ac:dyDescent="0.3">
      <c r="A535" s="1">
        <v>5114002</v>
      </c>
      <c r="B535" s="1">
        <v>5.03</v>
      </c>
      <c r="C535" s="1">
        <v>189</v>
      </c>
      <c r="D535" s="1">
        <v>199</v>
      </c>
      <c r="E535" s="1" t="s">
        <v>43</v>
      </c>
      <c r="F535" s="1">
        <v>0</v>
      </c>
      <c r="G535" s="1" t="s">
        <v>784</v>
      </c>
      <c r="H535" s="1" t="s">
        <v>1937</v>
      </c>
      <c r="I535" s="1" t="str">
        <f>HYPERLINK("https://www.systembolaget.se/produkt/sprit/shaman-s-5114002/","https://www.systembolaget.se/produkt/sprit/shaman-s-5114002/")</f>
        <v>https://www.systembolaget.se/produkt/sprit/shaman-s-5114002/</v>
      </c>
      <c r="J535" s="1">
        <v>5.03</v>
      </c>
      <c r="K535" s="1">
        <v>5.03</v>
      </c>
      <c r="L535" s="2">
        <v>45389</v>
      </c>
      <c r="M535" s="1" t="s">
        <v>1931</v>
      </c>
      <c r="N535" s="1">
        <v>0.56000000000000005</v>
      </c>
      <c r="O535" s="1">
        <v>500</v>
      </c>
      <c r="P535" s="1">
        <v>21</v>
      </c>
      <c r="Q535" s="1" t="s">
        <v>308</v>
      </c>
      <c r="R535" s="1" t="s">
        <v>378</v>
      </c>
      <c r="S535" s="1" t="s">
        <v>546</v>
      </c>
      <c r="T535" s="1"/>
      <c r="U535" s="1" t="s">
        <v>781</v>
      </c>
      <c r="V535" s="1"/>
      <c r="W535" s="1"/>
      <c r="X535" s="1" t="s">
        <v>782</v>
      </c>
      <c r="Y535" s="1" t="s">
        <v>783</v>
      </c>
      <c r="Z535" s="1" t="s">
        <v>43</v>
      </c>
      <c r="AA535" s="1"/>
      <c r="AB535" s="1" t="s">
        <v>44</v>
      </c>
      <c r="AC535" s="1" t="s">
        <v>45</v>
      </c>
      <c r="AD535" s="1" t="s">
        <v>43</v>
      </c>
      <c r="AE535" s="1" t="s">
        <v>43</v>
      </c>
      <c r="AF535" s="1"/>
      <c r="AG535" s="1" t="s">
        <v>43</v>
      </c>
      <c r="AH535" s="2">
        <v>45124</v>
      </c>
    </row>
    <row r="536" spans="1:34" x14ac:dyDescent="0.3">
      <c r="A536" s="1">
        <v>7636601</v>
      </c>
      <c r="B536" s="1">
        <v>5.03</v>
      </c>
      <c r="C536" s="1">
        <v>189</v>
      </c>
      <c r="D536" s="1">
        <v>199</v>
      </c>
      <c r="E536" s="1" t="s">
        <v>43</v>
      </c>
      <c r="F536" s="1">
        <v>0</v>
      </c>
      <c r="G536" s="1" t="s">
        <v>1938</v>
      </c>
      <c r="H536" s="1" t="s">
        <v>1809</v>
      </c>
      <c r="I536" s="1" t="str">
        <f>HYPERLINK("https://www.systembolaget.se/produkt/vin/el-valao-7636601/","https://www.systembolaget.se/produkt/vin/el-valao-7636601/")</f>
        <v>https://www.systembolaget.se/produkt/vin/el-valao-7636601/</v>
      </c>
      <c r="J536" s="1"/>
      <c r="K536" s="1">
        <v>5.03</v>
      </c>
      <c r="L536" s="2">
        <v>46125</v>
      </c>
      <c r="M536" s="1" t="s">
        <v>1931</v>
      </c>
      <c r="N536" s="1">
        <v>0.54</v>
      </c>
      <c r="O536" s="1">
        <v>750</v>
      </c>
      <c r="P536" s="1">
        <v>13.5</v>
      </c>
      <c r="Q536" s="1" t="s">
        <v>38</v>
      </c>
      <c r="R536" s="1" t="s">
        <v>52</v>
      </c>
      <c r="S536" s="1"/>
      <c r="T536" s="1"/>
      <c r="U536" s="1" t="s">
        <v>164</v>
      </c>
      <c r="V536" s="1" t="s">
        <v>1811</v>
      </c>
      <c r="W536" s="1" t="s">
        <v>1812</v>
      </c>
      <c r="X536" s="1" t="s">
        <v>1809</v>
      </c>
      <c r="Y536" s="1" t="s">
        <v>479</v>
      </c>
      <c r="Z536" s="1" t="s">
        <v>43</v>
      </c>
      <c r="AA536" s="1">
        <v>2023</v>
      </c>
      <c r="AB536" s="1" t="s">
        <v>44</v>
      </c>
      <c r="AC536" s="1" t="s">
        <v>45</v>
      </c>
      <c r="AD536" s="1" t="s">
        <v>43</v>
      </c>
      <c r="AE536" s="1" t="s">
        <v>43</v>
      </c>
      <c r="AF536" s="1"/>
      <c r="AG536" s="1" t="s">
        <v>43</v>
      </c>
      <c r="AH536" s="2">
        <v>46132</v>
      </c>
    </row>
    <row r="537" spans="1:34" x14ac:dyDescent="0.3">
      <c r="A537" s="1">
        <v>7095901</v>
      </c>
      <c r="B537" s="1">
        <v>5.03</v>
      </c>
      <c r="C537" s="1">
        <v>189</v>
      </c>
      <c r="D537" s="1">
        <v>199</v>
      </c>
      <c r="E537" s="1" t="s">
        <v>43</v>
      </c>
      <c r="F537" s="1">
        <v>0</v>
      </c>
      <c r="G537" s="1" t="s">
        <v>1939</v>
      </c>
      <c r="H537" s="1" t="s">
        <v>1940</v>
      </c>
      <c r="I537" s="1" t="str">
        <f>HYPERLINK("https://www.systembolaget.se/produkt/vin/gavi-di-gavi-7095901/","https://www.systembolaget.se/produkt/vin/gavi-di-gavi-7095901/")</f>
        <v>https://www.systembolaget.se/produkt/vin/gavi-di-gavi-7095901/</v>
      </c>
      <c r="J537" s="1">
        <v>9.57</v>
      </c>
      <c r="K537" s="1">
        <v>5.03</v>
      </c>
      <c r="L537" s="2">
        <v>45609</v>
      </c>
      <c r="M537" s="1" t="s">
        <v>1941</v>
      </c>
      <c r="N537" s="1">
        <v>0.5</v>
      </c>
      <c r="O537" s="1">
        <v>750</v>
      </c>
      <c r="P537" s="1">
        <v>12.5</v>
      </c>
      <c r="Q537" s="1" t="s">
        <v>38</v>
      </c>
      <c r="R537" s="1" t="s">
        <v>39</v>
      </c>
      <c r="S537" s="1"/>
      <c r="T537" s="1"/>
      <c r="U537" s="1" t="s">
        <v>53</v>
      </c>
      <c r="V537" s="1" t="s">
        <v>95</v>
      </c>
      <c r="W537" s="1" t="s">
        <v>1942</v>
      </c>
      <c r="X537" s="1" t="s">
        <v>1943</v>
      </c>
      <c r="Y537" s="1" t="s">
        <v>407</v>
      </c>
      <c r="Z537" s="1" t="s">
        <v>43</v>
      </c>
      <c r="AA537" s="1">
        <v>2025</v>
      </c>
      <c r="AB537" s="1" t="s">
        <v>44</v>
      </c>
      <c r="AC537" s="1" t="s">
        <v>45</v>
      </c>
      <c r="AD537" s="1" t="s">
        <v>43</v>
      </c>
      <c r="AE537" s="1" t="s">
        <v>43</v>
      </c>
      <c r="AF537" s="1"/>
      <c r="AG537" s="1" t="s">
        <v>43</v>
      </c>
      <c r="AH537" s="2">
        <v>45616</v>
      </c>
    </row>
    <row r="538" spans="1:34" x14ac:dyDescent="0.3">
      <c r="A538" s="1">
        <v>5563101</v>
      </c>
      <c r="B538" s="1">
        <v>5.01</v>
      </c>
      <c r="C538" s="1">
        <v>379</v>
      </c>
      <c r="D538" s="1">
        <v>399</v>
      </c>
      <c r="E538" s="1" t="s">
        <v>43</v>
      </c>
      <c r="F538" s="1">
        <v>0</v>
      </c>
      <c r="G538" s="1" t="s">
        <v>1944</v>
      </c>
      <c r="H538" s="1"/>
      <c r="I538" s="1" t="str">
        <f>HYPERLINK("https://www.systembolaget.se/produkt/sprit/spearhead-5563101/","https://www.systembolaget.se/produkt/sprit/spearhead-5563101/")</f>
        <v>https://www.systembolaget.se/produkt/sprit/spearhead-5563101/</v>
      </c>
      <c r="J538" s="1">
        <v>5.01</v>
      </c>
      <c r="K538" s="1">
        <v>5.01</v>
      </c>
      <c r="L538" s="2">
        <v>45389</v>
      </c>
      <c r="M538" s="1" t="s">
        <v>1945</v>
      </c>
      <c r="N538" s="1">
        <v>0.79</v>
      </c>
      <c r="O538" s="1">
        <v>700</v>
      </c>
      <c r="P538" s="1">
        <v>43</v>
      </c>
      <c r="Q538" s="1" t="s">
        <v>308</v>
      </c>
      <c r="R538" s="1" t="s">
        <v>309</v>
      </c>
      <c r="S538" s="1" t="s">
        <v>809</v>
      </c>
      <c r="T538" s="1"/>
      <c r="U538" s="1" t="s">
        <v>253</v>
      </c>
      <c r="V538" s="1" t="s">
        <v>254</v>
      </c>
      <c r="W538" s="1"/>
      <c r="X538" s="1" t="s">
        <v>632</v>
      </c>
      <c r="Y538" s="1" t="s">
        <v>261</v>
      </c>
      <c r="Z538" s="1" t="s">
        <v>43</v>
      </c>
      <c r="AA538" s="1"/>
      <c r="AB538" s="1" t="s">
        <v>44</v>
      </c>
      <c r="AC538" s="1" t="s">
        <v>45</v>
      </c>
      <c r="AD538" s="1" t="s">
        <v>43</v>
      </c>
      <c r="AE538" s="1" t="s">
        <v>43</v>
      </c>
      <c r="AF538" s="1"/>
      <c r="AG538" s="1" t="s">
        <v>43</v>
      </c>
      <c r="AH538" s="2">
        <v>44634</v>
      </c>
    </row>
    <row r="539" spans="1:34" x14ac:dyDescent="0.3">
      <c r="A539" s="1">
        <v>7331401</v>
      </c>
      <c r="B539" s="1">
        <v>5</v>
      </c>
      <c r="C539" s="1">
        <v>9499</v>
      </c>
      <c r="D539" s="1">
        <v>9999</v>
      </c>
      <c r="E539" s="1" t="s">
        <v>43</v>
      </c>
      <c r="F539" s="1">
        <v>0</v>
      </c>
      <c r="G539" s="1" t="s">
        <v>722</v>
      </c>
      <c r="H539" s="1" t="s">
        <v>723</v>
      </c>
      <c r="I539" s="1" t="str">
        <f>HYPERLINK("https://www.systembolaget.se/produkt/vin/chambertin-grand-cru-7331401/","https://www.systembolaget.se/produkt/vin/chambertin-grand-cru-7331401/")</f>
        <v>https://www.systembolaget.se/produkt/vin/chambertin-grand-cru-7331401/</v>
      </c>
      <c r="J539" s="1">
        <v>5</v>
      </c>
      <c r="K539" s="1">
        <v>5</v>
      </c>
      <c r="L539" s="2">
        <v>45460</v>
      </c>
      <c r="M539" s="1" t="s">
        <v>1946</v>
      </c>
      <c r="N539" s="1">
        <v>0.01</v>
      </c>
      <c r="O539" s="1">
        <v>750</v>
      </c>
      <c r="P539" s="1">
        <v>13.5</v>
      </c>
      <c r="Q539" s="1" t="s">
        <v>38</v>
      </c>
      <c r="R539" s="1" t="s">
        <v>52</v>
      </c>
      <c r="S539" s="1"/>
      <c r="T539" s="1"/>
      <c r="U539" s="1" t="s">
        <v>101</v>
      </c>
      <c r="V539" s="1" t="s">
        <v>142</v>
      </c>
      <c r="W539" s="1" t="s">
        <v>725</v>
      </c>
      <c r="X539" s="1" t="s">
        <v>723</v>
      </c>
      <c r="Y539" s="1" t="s">
        <v>678</v>
      </c>
      <c r="Z539" s="1" t="s">
        <v>46</v>
      </c>
      <c r="AA539" s="1">
        <v>2008</v>
      </c>
      <c r="AB539" s="1" t="s">
        <v>44</v>
      </c>
      <c r="AC539" s="1" t="s">
        <v>45</v>
      </c>
      <c r="AD539" s="1" t="s">
        <v>43</v>
      </c>
      <c r="AE539" s="1" t="s">
        <v>43</v>
      </c>
      <c r="AF539" s="1"/>
      <c r="AG539" s="1" t="s">
        <v>43</v>
      </c>
      <c r="AH539" s="2">
        <v>45467</v>
      </c>
    </row>
    <row r="540" spans="1:34" x14ac:dyDescent="0.3">
      <c r="A540" s="1">
        <v>7456401</v>
      </c>
      <c r="B540" s="1">
        <v>5</v>
      </c>
      <c r="C540" s="1">
        <v>3799</v>
      </c>
      <c r="D540" s="1">
        <v>3999</v>
      </c>
      <c r="E540" s="1" t="s">
        <v>43</v>
      </c>
      <c r="F540" s="1">
        <v>0</v>
      </c>
      <c r="G540" s="1" t="s">
        <v>1947</v>
      </c>
      <c r="H540" s="1" t="s">
        <v>1948</v>
      </c>
      <c r="I540" s="1" t="str">
        <f>HYPERLINK("https://www.systembolaget.se/produkt/vin/charmes-chambertin-7456401/","https://www.systembolaget.se/produkt/vin/charmes-chambertin-7456401/")</f>
        <v>https://www.systembolaget.se/produkt/vin/charmes-chambertin-7456401/</v>
      </c>
      <c r="J540" s="1">
        <v>5</v>
      </c>
      <c r="K540" s="1">
        <v>5</v>
      </c>
      <c r="L540" s="2">
        <v>45768</v>
      </c>
      <c r="M540" s="1" t="s">
        <v>1949</v>
      </c>
      <c r="N540" s="1">
        <v>0.03</v>
      </c>
      <c r="O540" s="1">
        <v>750</v>
      </c>
      <c r="P540" s="1">
        <v>13</v>
      </c>
      <c r="Q540" s="1" t="s">
        <v>38</v>
      </c>
      <c r="R540" s="1" t="s">
        <v>52</v>
      </c>
      <c r="S540" s="1"/>
      <c r="T540" s="1"/>
      <c r="U540" s="1" t="s">
        <v>101</v>
      </c>
      <c r="V540" s="1" t="s">
        <v>142</v>
      </c>
      <c r="W540" s="1" t="s">
        <v>725</v>
      </c>
      <c r="X540" s="1" t="s">
        <v>1137</v>
      </c>
      <c r="Y540" s="1" t="s">
        <v>678</v>
      </c>
      <c r="Z540" s="1" t="s">
        <v>46</v>
      </c>
      <c r="AA540" s="1">
        <v>2022</v>
      </c>
      <c r="AB540" s="1" t="s">
        <v>44</v>
      </c>
      <c r="AC540" s="1" t="s">
        <v>45</v>
      </c>
      <c r="AD540" s="1" t="s">
        <v>43</v>
      </c>
      <c r="AE540" s="1" t="s">
        <v>43</v>
      </c>
      <c r="AF540" s="1"/>
      <c r="AG540" s="1" t="s">
        <v>43</v>
      </c>
      <c r="AH540" s="2">
        <v>45775</v>
      </c>
    </row>
    <row r="541" spans="1:34" x14ac:dyDescent="0.3">
      <c r="A541" s="1">
        <v>7412601</v>
      </c>
      <c r="B541" s="1">
        <v>5</v>
      </c>
      <c r="C541" s="1">
        <v>7599</v>
      </c>
      <c r="D541" s="1">
        <v>7999</v>
      </c>
      <c r="E541" s="1" t="s">
        <v>43</v>
      </c>
      <c r="F541" s="1">
        <v>0</v>
      </c>
      <c r="G541" s="1" t="s">
        <v>1145</v>
      </c>
      <c r="H541" s="1" t="s">
        <v>801</v>
      </c>
      <c r="I541" s="1" t="str">
        <f>HYPERLINK("https://www.systembolaget.se/produkt/vin/bonnes-mares-grand-cru-7412601/","https://www.systembolaget.se/produkt/vin/bonnes-mares-grand-cru-7412601/")</f>
        <v>https://www.systembolaget.se/produkt/vin/bonnes-mares-grand-cru-7412601/</v>
      </c>
      <c r="J541" s="1">
        <v>5</v>
      </c>
      <c r="K541" s="1">
        <v>5</v>
      </c>
      <c r="L541" s="2">
        <v>45539</v>
      </c>
      <c r="M541" s="1" t="s">
        <v>1950</v>
      </c>
      <c r="N541" s="1">
        <v>0.01</v>
      </c>
      <c r="O541" s="1">
        <v>750</v>
      </c>
      <c r="P541" s="1">
        <v>13.5</v>
      </c>
      <c r="Q541" s="1" t="s">
        <v>38</v>
      </c>
      <c r="R541" s="1" t="s">
        <v>52</v>
      </c>
      <c r="S541" s="1"/>
      <c r="T541" s="1"/>
      <c r="U541" s="1" t="s">
        <v>101</v>
      </c>
      <c r="V541" s="1" t="s">
        <v>142</v>
      </c>
      <c r="W541" s="1" t="s">
        <v>725</v>
      </c>
      <c r="X541" s="1" t="s">
        <v>801</v>
      </c>
      <c r="Y541" s="1" t="s">
        <v>678</v>
      </c>
      <c r="Z541" s="1" t="s">
        <v>43</v>
      </c>
      <c r="AA541" s="1">
        <v>2022</v>
      </c>
      <c r="AB541" s="1" t="s">
        <v>44</v>
      </c>
      <c r="AC541" s="1" t="s">
        <v>45</v>
      </c>
      <c r="AD541" s="1" t="s">
        <v>43</v>
      </c>
      <c r="AE541" s="1" t="s">
        <v>43</v>
      </c>
      <c r="AF541" s="1"/>
      <c r="AG541" s="1" t="s">
        <v>43</v>
      </c>
      <c r="AH541" s="2">
        <v>45546</v>
      </c>
    </row>
    <row r="542" spans="1:34" x14ac:dyDescent="0.3">
      <c r="A542" s="1">
        <v>7785001</v>
      </c>
      <c r="B542" s="1">
        <v>5</v>
      </c>
      <c r="C542" s="1">
        <v>9499</v>
      </c>
      <c r="D542" s="1">
        <v>9999</v>
      </c>
      <c r="E542" s="1" t="s">
        <v>43</v>
      </c>
      <c r="F542" s="1">
        <v>0</v>
      </c>
      <c r="G542" s="1" t="s">
        <v>1410</v>
      </c>
      <c r="H542" s="1" t="s">
        <v>1137</v>
      </c>
      <c r="I542" s="1" t="str">
        <f>HYPERLINK("https://www.systembolaget.se/produkt/vin/musigny-grand-cru-7785001/","https://www.systembolaget.se/produkt/vin/musigny-grand-cru-7785001/")</f>
        <v>https://www.systembolaget.se/produkt/vin/musigny-grand-cru-7785001/</v>
      </c>
      <c r="J542" s="1"/>
      <c r="K542" s="1">
        <v>5</v>
      </c>
      <c r="L542" s="2">
        <v>45994</v>
      </c>
      <c r="M542" s="1" t="s">
        <v>1946</v>
      </c>
      <c r="N542" s="1">
        <v>0.01</v>
      </c>
      <c r="O542" s="1">
        <v>750</v>
      </c>
      <c r="P542" s="1">
        <v>13</v>
      </c>
      <c r="Q542" s="1" t="s">
        <v>38</v>
      </c>
      <c r="R542" s="1" t="s">
        <v>52</v>
      </c>
      <c r="S542" s="1"/>
      <c r="T542" s="1"/>
      <c r="U542" s="1" t="s">
        <v>101</v>
      </c>
      <c r="V542" s="1" t="s">
        <v>142</v>
      </c>
      <c r="W542" s="1" t="s">
        <v>725</v>
      </c>
      <c r="X542" s="1" t="s">
        <v>1137</v>
      </c>
      <c r="Y542" s="1" t="s">
        <v>678</v>
      </c>
      <c r="Z542" s="1" t="s">
        <v>46</v>
      </c>
      <c r="AA542" s="1">
        <v>2021</v>
      </c>
      <c r="AB542" s="1" t="s">
        <v>44</v>
      </c>
      <c r="AC542" s="1" t="s">
        <v>45</v>
      </c>
      <c r="AD542" s="1" t="s">
        <v>43</v>
      </c>
      <c r="AE542" s="1" t="s">
        <v>43</v>
      </c>
      <c r="AF542" s="1"/>
      <c r="AG542" s="1" t="s">
        <v>43</v>
      </c>
      <c r="AH542" s="2">
        <v>46001</v>
      </c>
    </row>
    <row r="543" spans="1:34" x14ac:dyDescent="0.3">
      <c r="A543" s="1">
        <v>9257901</v>
      </c>
      <c r="B543" s="1">
        <v>5</v>
      </c>
      <c r="C543" s="1">
        <v>9499</v>
      </c>
      <c r="D543" s="1">
        <v>9999</v>
      </c>
      <c r="E543" s="1" t="s">
        <v>43</v>
      </c>
      <c r="F543" s="1">
        <v>0</v>
      </c>
      <c r="G543" s="1" t="s">
        <v>1505</v>
      </c>
      <c r="H543" s="1" t="s">
        <v>801</v>
      </c>
      <c r="I543" s="1" t="str">
        <f>HYPERLINK("https://www.systembolaget.se/produkt/vin/musigny-vieilles-vignes-grand-cru-9257901/","https://www.systembolaget.se/produkt/vin/musigny-vieilles-vignes-grand-cru-9257901/")</f>
        <v>https://www.systembolaget.se/produkt/vin/musigny-vieilles-vignes-grand-cru-9257901/</v>
      </c>
      <c r="J543" s="1">
        <v>5</v>
      </c>
      <c r="K543" s="1">
        <v>5</v>
      </c>
      <c r="L543" s="2">
        <v>45389</v>
      </c>
      <c r="M543" s="1" t="s">
        <v>1946</v>
      </c>
      <c r="N543" s="1">
        <v>0.01</v>
      </c>
      <c r="O543" s="1">
        <v>750</v>
      </c>
      <c r="P543" s="1">
        <v>13.5</v>
      </c>
      <c r="Q543" s="1" t="s">
        <v>38</v>
      </c>
      <c r="R543" s="1" t="s">
        <v>52</v>
      </c>
      <c r="S543" s="1"/>
      <c r="T543" s="1"/>
      <c r="U543" s="1" t="s">
        <v>101</v>
      </c>
      <c r="V543" s="1" t="s">
        <v>142</v>
      </c>
      <c r="W543" s="1" t="s">
        <v>725</v>
      </c>
      <c r="X543" s="1" t="s">
        <v>1951</v>
      </c>
      <c r="Y543" s="1" t="s">
        <v>678</v>
      </c>
      <c r="Z543" s="1" t="s">
        <v>43</v>
      </c>
      <c r="AA543" s="1">
        <v>2017</v>
      </c>
      <c r="AB543" s="1" t="s">
        <v>44</v>
      </c>
      <c r="AC543" s="1" t="s">
        <v>45</v>
      </c>
      <c r="AD543" s="1" t="s">
        <v>43</v>
      </c>
      <c r="AE543" s="1" t="s">
        <v>43</v>
      </c>
      <c r="AF543" s="1"/>
      <c r="AG543" s="1" t="s">
        <v>43</v>
      </c>
      <c r="AH543" s="2">
        <v>43776</v>
      </c>
    </row>
    <row r="544" spans="1:34" x14ac:dyDescent="0.3">
      <c r="A544" s="1">
        <v>5421001</v>
      </c>
      <c r="B544" s="1">
        <v>4.96</v>
      </c>
      <c r="C544" s="1">
        <v>249</v>
      </c>
      <c r="D544" s="1">
        <v>262</v>
      </c>
      <c r="E544" s="1" t="s">
        <v>43</v>
      </c>
      <c r="F544" s="1">
        <v>0</v>
      </c>
      <c r="G544" s="1" t="s">
        <v>1952</v>
      </c>
      <c r="H544" s="1" t="s">
        <v>1953</v>
      </c>
      <c r="I544" s="1" t="str">
        <f>HYPERLINK("https://www.systembolaget.se/produkt/vin/illimis-5421001/","https://www.systembolaget.se/produkt/vin/illimis-5421001/")</f>
        <v>https://www.systembolaget.se/produkt/vin/illimis-5421001/</v>
      </c>
      <c r="J544" s="1">
        <v>3.86</v>
      </c>
      <c r="K544" s="1">
        <v>4.96</v>
      </c>
      <c r="L544" s="2">
        <v>45444</v>
      </c>
      <c r="M544" s="1" t="s">
        <v>1954</v>
      </c>
      <c r="N544" s="1">
        <v>0.36</v>
      </c>
      <c r="O544" s="1">
        <v>750</v>
      </c>
      <c r="P544" s="1">
        <v>12</v>
      </c>
      <c r="Q544" s="1" t="s">
        <v>38</v>
      </c>
      <c r="R544" s="1" t="s">
        <v>52</v>
      </c>
      <c r="S544" s="1"/>
      <c r="T544" s="1"/>
      <c r="U544" s="1" t="s">
        <v>289</v>
      </c>
      <c r="V544" s="1" t="s">
        <v>290</v>
      </c>
      <c r="W544" s="1" t="s">
        <v>291</v>
      </c>
      <c r="X544" s="1" t="s">
        <v>1955</v>
      </c>
      <c r="Y544" s="1" t="s">
        <v>1956</v>
      </c>
      <c r="Z544" s="1" t="s">
        <v>43</v>
      </c>
      <c r="AA544" s="1">
        <v>2022</v>
      </c>
      <c r="AB544" s="1" t="s">
        <v>44</v>
      </c>
      <c r="AC544" s="1" t="s">
        <v>45</v>
      </c>
      <c r="AD544" s="1" t="s">
        <v>43</v>
      </c>
      <c r="AE544" s="1" t="s">
        <v>43</v>
      </c>
      <c r="AF544" s="1"/>
      <c r="AG544" s="1" t="s">
        <v>43</v>
      </c>
      <c r="AH544" s="2">
        <v>45182</v>
      </c>
    </row>
    <row r="545" spans="1:34" x14ac:dyDescent="0.3">
      <c r="A545" s="1">
        <v>3329634</v>
      </c>
      <c r="B545" s="1">
        <v>4.8499999999999996</v>
      </c>
      <c r="C545" s="1">
        <v>29.4</v>
      </c>
      <c r="D545" s="1">
        <v>30.9</v>
      </c>
      <c r="E545" s="1" t="s">
        <v>551</v>
      </c>
      <c r="F545" s="1">
        <v>0</v>
      </c>
      <c r="G545" s="1" t="s">
        <v>1957</v>
      </c>
      <c r="H545" s="1" t="s">
        <v>1958</v>
      </c>
      <c r="I545" s="1" t="str">
        <f>HYPERLINK("https://www.systembolaget.se/produkt/ol/akia-brygghus-3329634/","https://www.systembolaget.se/produkt/ol/akia-brygghus-3329634/")</f>
        <v>https://www.systembolaget.se/produkt/ol/akia-brygghus-3329634/</v>
      </c>
      <c r="J545" s="1"/>
      <c r="K545" s="1">
        <v>4.8499999999999996</v>
      </c>
      <c r="L545" s="2">
        <v>46188</v>
      </c>
      <c r="M545" s="1" t="s">
        <v>1959</v>
      </c>
      <c r="N545" s="1">
        <v>0.75</v>
      </c>
      <c r="O545" s="1">
        <v>440</v>
      </c>
      <c r="P545" s="1">
        <v>5</v>
      </c>
      <c r="Q545" s="1" t="s">
        <v>107</v>
      </c>
      <c r="R545" s="1" t="s">
        <v>108</v>
      </c>
      <c r="S545" s="1" t="s">
        <v>1195</v>
      </c>
      <c r="T545" s="1"/>
      <c r="U545" s="1" t="s">
        <v>110</v>
      </c>
      <c r="V545" s="1" t="s">
        <v>1081</v>
      </c>
      <c r="W545" s="1" t="s">
        <v>1082</v>
      </c>
      <c r="X545" s="1" t="s">
        <v>1957</v>
      </c>
      <c r="Y545" s="1" t="s">
        <v>1084</v>
      </c>
      <c r="Z545" s="1" t="s">
        <v>43</v>
      </c>
      <c r="AA545" s="1"/>
      <c r="AB545" s="1" t="s">
        <v>114</v>
      </c>
      <c r="AC545" s="1" t="s">
        <v>115</v>
      </c>
      <c r="AD545" s="1" t="s">
        <v>43</v>
      </c>
      <c r="AE545" s="1" t="s">
        <v>43</v>
      </c>
      <c r="AF545" s="1"/>
      <c r="AG545" s="1" t="s">
        <v>43</v>
      </c>
      <c r="AH545" s="2">
        <v>46209</v>
      </c>
    </row>
    <row r="546" spans="1:34" x14ac:dyDescent="0.3">
      <c r="A546" s="1">
        <v>2006214</v>
      </c>
      <c r="B546" s="1">
        <v>4.84</v>
      </c>
      <c r="C546" s="1">
        <v>59</v>
      </c>
      <c r="D546" s="1">
        <v>62</v>
      </c>
      <c r="E546" s="1" t="s">
        <v>43</v>
      </c>
      <c r="F546" s="1">
        <v>0</v>
      </c>
      <c r="G546" s="1" t="s">
        <v>1960</v>
      </c>
      <c r="H546" s="1" t="s">
        <v>1961</v>
      </c>
      <c r="I546" s="1" t="str">
        <f>HYPERLINK("https://www.systembolaget.se/produkt/vin/le-rose-2006214/","https://www.systembolaget.se/produkt/vin/le-rose-2006214/")</f>
        <v>https://www.systembolaget.se/produkt/vin/le-rose-2006214/</v>
      </c>
      <c r="J546" s="1">
        <v>0</v>
      </c>
      <c r="K546" s="1">
        <v>4.84</v>
      </c>
      <c r="L546" s="2">
        <v>45452</v>
      </c>
      <c r="M546" s="1" t="s">
        <v>1962</v>
      </c>
      <c r="N546" s="1">
        <v>0.55000000000000004</v>
      </c>
      <c r="O546" s="1">
        <v>250</v>
      </c>
      <c r="P546" s="1">
        <v>13</v>
      </c>
      <c r="Q546" s="1" t="s">
        <v>38</v>
      </c>
      <c r="R546" s="1" t="s">
        <v>80</v>
      </c>
      <c r="S546" s="1" t="s">
        <v>170</v>
      </c>
      <c r="T546" s="1"/>
      <c r="U546" s="1" t="s">
        <v>101</v>
      </c>
      <c r="V546" s="1" t="s">
        <v>331</v>
      </c>
      <c r="W546" s="1" t="s">
        <v>332</v>
      </c>
      <c r="X546" s="1" t="s">
        <v>1963</v>
      </c>
      <c r="Y546" s="1" t="s">
        <v>145</v>
      </c>
      <c r="Z546" s="1" t="s">
        <v>46</v>
      </c>
      <c r="AA546" s="1">
        <v>2024</v>
      </c>
      <c r="AB546" s="1" t="s">
        <v>114</v>
      </c>
      <c r="AC546" s="1" t="s">
        <v>90</v>
      </c>
      <c r="AD546" s="1" t="s">
        <v>43</v>
      </c>
      <c r="AE546" s="1" t="s">
        <v>43</v>
      </c>
      <c r="AF546" s="1">
        <v>2</v>
      </c>
      <c r="AG546" s="1" t="s">
        <v>43</v>
      </c>
      <c r="AH546" s="2">
        <v>45078</v>
      </c>
    </row>
    <row r="547" spans="1:34" x14ac:dyDescent="0.3">
      <c r="A547" s="1">
        <v>2006234</v>
      </c>
      <c r="B547" s="1">
        <v>4.84</v>
      </c>
      <c r="C547" s="1">
        <v>59</v>
      </c>
      <c r="D547" s="1">
        <v>62</v>
      </c>
      <c r="E547" s="1" t="s">
        <v>43</v>
      </c>
      <c r="F547" s="1">
        <v>0</v>
      </c>
      <c r="G547" s="1" t="s">
        <v>1960</v>
      </c>
      <c r="H547" s="1" t="s">
        <v>1961</v>
      </c>
      <c r="I547" s="1" t="str">
        <f>HYPERLINK("https://www.systembolaget.se/produkt/vin/le-rose-2006234/","https://www.systembolaget.se/produkt/vin/le-rose-2006234/")</f>
        <v>https://www.systembolaget.se/produkt/vin/le-rose-2006234/</v>
      </c>
      <c r="J547" s="1"/>
      <c r="K547" s="1">
        <v>4.84</v>
      </c>
      <c r="L547" s="2">
        <v>46136</v>
      </c>
      <c r="M547" s="1" t="s">
        <v>1964</v>
      </c>
      <c r="N547" s="1">
        <v>0.55000000000000004</v>
      </c>
      <c r="O547" s="1">
        <v>250</v>
      </c>
      <c r="P547" s="1">
        <v>13</v>
      </c>
      <c r="Q547" s="1" t="s">
        <v>38</v>
      </c>
      <c r="R547" s="1" t="s">
        <v>80</v>
      </c>
      <c r="S547" s="1" t="s">
        <v>170</v>
      </c>
      <c r="T547" s="1"/>
      <c r="U547" s="1" t="s">
        <v>101</v>
      </c>
      <c r="V547" s="1" t="s">
        <v>331</v>
      </c>
      <c r="W547" s="1" t="s">
        <v>332</v>
      </c>
      <c r="X547" s="1" t="s">
        <v>1963</v>
      </c>
      <c r="Y547" s="1" t="s">
        <v>145</v>
      </c>
      <c r="Z547" s="1" t="s">
        <v>46</v>
      </c>
      <c r="AA547" s="1">
        <v>2025</v>
      </c>
      <c r="AB547" s="1" t="s">
        <v>114</v>
      </c>
      <c r="AC547" s="1" t="s">
        <v>90</v>
      </c>
      <c r="AD547" s="1" t="s">
        <v>43</v>
      </c>
      <c r="AE547" s="1" t="s">
        <v>43</v>
      </c>
      <c r="AF547" s="1">
        <v>2</v>
      </c>
      <c r="AG547" s="1" t="s">
        <v>43</v>
      </c>
      <c r="AH547" s="2">
        <v>46143</v>
      </c>
    </row>
    <row r="548" spans="1:34" x14ac:dyDescent="0.3">
      <c r="A548" s="1">
        <v>7582601</v>
      </c>
      <c r="B548" s="1">
        <v>4.84</v>
      </c>
      <c r="C548" s="1">
        <v>275</v>
      </c>
      <c r="D548" s="1">
        <v>289</v>
      </c>
      <c r="E548" s="1" t="s">
        <v>43</v>
      </c>
      <c r="F548" s="1">
        <v>0</v>
      </c>
      <c r="G548" s="1" t="s">
        <v>1965</v>
      </c>
      <c r="H548" s="1" t="s">
        <v>1966</v>
      </c>
      <c r="I548" s="1" t="str">
        <f>HYPERLINK("https://www.systembolaget.se/produkt/vin/lo-bancal-de-granatxa-7582601/","https://www.systembolaget.se/produkt/vin/lo-bancal-de-granatxa-7582601/")</f>
        <v>https://www.systembolaget.se/produkt/vin/lo-bancal-de-granatxa-7582601/</v>
      </c>
      <c r="J548" s="1"/>
      <c r="K548" s="1">
        <v>4.84</v>
      </c>
      <c r="L548" s="2">
        <v>46041</v>
      </c>
      <c r="M548" s="1" t="s">
        <v>1967</v>
      </c>
      <c r="N548" s="1">
        <v>0.41</v>
      </c>
      <c r="O548" s="1">
        <v>750</v>
      </c>
      <c r="P548" s="1">
        <v>15</v>
      </c>
      <c r="Q548" s="1" t="s">
        <v>38</v>
      </c>
      <c r="R548" s="1" t="s">
        <v>52</v>
      </c>
      <c r="S548" s="1"/>
      <c r="T548" s="1"/>
      <c r="U548" s="1" t="s">
        <v>164</v>
      </c>
      <c r="V548" s="1" t="s">
        <v>401</v>
      </c>
      <c r="W548" s="1" t="s">
        <v>1485</v>
      </c>
      <c r="X548" s="1" t="s">
        <v>1966</v>
      </c>
      <c r="Y548" s="1" t="s">
        <v>1830</v>
      </c>
      <c r="Z548" s="1" t="s">
        <v>46</v>
      </c>
      <c r="AA548" s="1">
        <v>2023</v>
      </c>
      <c r="AB548" s="1" t="s">
        <v>44</v>
      </c>
      <c r="AC548" s="1" t="s">
        <v>45</v>
      </c>
      <c r="AD548" s="1" t="s">
        <v>43</v>
      </c>
      <c r="AE548" s="1" t="s">
        <v>43</v>
      </c>
      <c r="AF548" s="1"/>
      <c r="AG548" s="1" t="s">
        <v>43</v>
      </c>
      <c r="AH548" s="2">
        <v>46048</v>
      </c>
    </row>
    <row r="549" spans="1:34" x14ac:dyDescent="0.3">
      <c r="A549" s="1">
        <v>7788901</v>
      </c>
      <c r="B549" s="1">
        <v>4.8</v>
      </c>
      <c r="C549" s="1">
        <v>119</v>
      </c>
      <c r="D549" s="1">
        <v>125</v>
      </c>
      <c r="E549" s="1" t="s">
        <v>43</v>
      </c>
      <c r="F549" s="1">
        <v>0</v>
      </c>
      <c r="G549" s="1" t="s">
        <v>1968</v>
      </c>
      <c r="H549" s="1" t="s">
        <v>1969</v>
      </c>
      <c r="I549" s="1" t="str">
        <f>HYPERLINK("https://www.systembolaget.se/produkt/vin/p-lex-7788901/","https://www.systembolaget.se/produkt/vin/p-lex-7788901/")</f>
        <v>https://www.systembolaget.se/produkt/vin/p-lex-7788901/</v>
      </c>
      <c r="J549" s="1">
        <v>4.8</v>
      </c>
      <c r="K549" s="1">
        <v>4.8</v>
      </c>
      <c r="L549" s="2">
        <v>45389</v>
      </c>
      <c r="M549" s="1" t="s">
        <v>1970</v>
      </c>
      <c r="N549" s="1">
        <v>0.69</v>
      </c>
      <c r="O549" s="1">
        <v>750</v>
      </c>
      <c r="P549" s="1">
        <v>11</v>
      </c>
      <c r="Q549" s="1" t="s">
        <v>38</v>
      </c>
      <c r="R549" s="1" t="s">
        <v>61</v>
      </c>
      <c r="S549" s="1" t="s">
        <v>68</v>
      </c>
      <c r="T549" s="1"/>
      <c r="U549" s="1" t="s">
        <v>53</v>
      </c>
      <c r="V549" s="1" t="s">
        <v>202</v>
      </c>
      <c r="W549" s="1" t="s">
        <v>203</v>
      </c>
      <c r="X549" s="1" t="s">
        <v>1115</v>
      </c>
      <c r="Y549" s="1" t="s">
        <v>334</v>
      </c>
      <c r="Z549" s="1" t="s">
        <v>46</v>
      </c>
      <c r="AA549" s="1"/>
      <c r="AB549" s="1" t="s">
        <v>44</v>
      </c>
      <c r="AC549" s="1" t="s">
        <v>90</v>
      </c>
      <c r="AD549" s="1" t="s">
        <v>43</v>
      </c>
      <c r="AE549" s="1" t="s">
        <v>43</v>
      </c>
      <c r="AF549" s="1">
        <v>13</v>
      </c>
      <c r="AG549" s="1" t="s">
        <v>43</v>
      </c>
      <c r="AH549" s="2">
        <v>41366</v>
      </c>
    </row>
    <row r="550" spans="1:34" x14ac:dyDescent="0.3">
      <c r="A550" s="1">
        <v>7828401</v>
      </c>
      <c r="B550" s="1">
        <v>4.78</v>
      </c>
      <c r="C550" s="1">
        <v>199</v>
      </c>
      <c r="D550" s="1">
        <v>209</v>
      </c>
      <c r="E550" s="1" t="s">
        <v>43</v>
      </c>
      <c r="F550" s="1">
        <v>0</v>
      </c>
      <c r="G550" s="1" t="s">
        <v>1971</v>
      </c>
      <c r="H550" s="1" t="s">
        <v>1972</v>
      </c>
      <c r="I550" s="1" t="str">
        <f>HYPERLINK("https://www.systembolaget.se/produkt/vin/langhe-rossese-bianco-7828401/","https://www.systembolaget.se/produkt/vin/langhe-rossese-bianco-7828401/")</f>
        <v>https://www.systembolaget.se/produkt/vin/langhe-rossese-bianco-7828401/</v>
      </c>
      <c r="J550" s="1">
        <v>0</v>
      </c>
      <c r="K550" s="1">
        <v>4.78</v>
      </c>
      <c r="L550" s="2">
        <v>45389</v>
      </c>
      <c r="M550" s="1" t="s">
        <v>1973</v>
      </c>
      <c r="N550" s="1">
        <v>0.51</v>
      </c>
      <c r="O550" s="1">
        <v>750</v>
      </c>
      <c r="P550" s="1">
        <v>13.5</v>
      </c>
      <c r="Q550" s="1" t="s">
        <v>38</v>
      </c>
      <c r="R550" s="1" t="s">
        <v>39</v>
      </c>
      <c r="S550" s="1"/>
      <c r="T550" s="1"/>
      <c r="U550" s="1" t="s">
        <v>53</v>
      </c>
      <c r="V550" s="1" t="s">
        <v>95</v>
      </c>
      <c r="W550" s="1" t="s">
        <v>550</v>
      </c>
      <c r="X550" s="1" t="s">
        <v>1972</v>
      </c>
      <c r="Y550" s="1" t="s">
        <v>678</v>
      </c>
      <c r="Z550" s="1" t="s">
        <v>43</v>
      </c>
      <c r="AA550" s="1">
        <v>2023</v>
      </c>
      <c r="AB550" s="1" t="s">
        <v>44</v>
      </c>
      <c r="AC550" s="1" t="s">
        <v>45</v>
      </c>
      <c r="AD550" s="1" t="s">
        <v>43</v>
      </c>
      <c r="AE550" s="1" t="s">
        <v>43</v>
      </c>
      <c r="AF550" s="1"/>
      <c r="AG550" s="1" t="s">
        <v>43</v>
      </c>
      <c r="AH550" s="2">
        <v>44018</v>
      </c>
    </row>
    <row r="551" spans="1:34" x14ac:dyDescent="0.3">
      <c r="A551" s="1">
        <v>7651208</v>
      </c>
      <c r="B551" s="1">
        <v>4.78</v>
      </c>
      <c r="C551" s="1">
        <v>199</v>
      </c>
      <c r="D551" s="1">
        <v>209</v>
      </c>
      <c r="E551" s="1" t="s">
        <v>43</v>
      </c>
      <c r="F551" s="1">
        <v>0</v>
      </c>
      <c r="G551" s="1" t="s">
        <v>1974</v>
      </c>
      <c r="H551" s="1" t="s">
        <v>1975</v>
      </c>
      <c r="I551" s="1" t="str">
        <f>HYPERLINK("https://www.systembolaget.se/produkt/vin/il-barone-7651208/","https://www.systembolaget.se/produkt/vin/il-barone-7651208/")</f>
        <v>https://www.systembolaget.se/produkt/vin/il-barone-7651208/</v>
      </c>
      <c r="J551" s="1">
        <v>4.78</v>
      </c>
      <c r="K551" s="1">
        <v>4.78</v>
      </c>
      <c r="L551" s="2">
        <v>45468</v>
      </c>
      <c r="M551" s="1" t="s">
        <v>1976</v>
      </c>
      <c r="N551" s="1">
        <v>1.73</v>
      </c>
      <c r="O551" s="1">
        <v>3000</v>
      </c>
      <c r="P551" s="1">
        <v>11.5</v>
      </c>
      <c r="Q551" s="1" t="s">
        <v>38</v>
      </c>
      <c r="R551" s="1" t="s">
        <v>39</v>
      </c>
      <c r="S551" s="1" t="s">
        <v>184</v>
      </c>
      <c r="T551" s="1"/>
      <c r="U551" s="1" t="s">
        <v>164</v>
      </c>
      <c r="V551" s="1"/>
      <c r="W551" s="1"/>
      <c r="X551" s="1" t="s">
        <v>451</v>
      </c>
      <c r="Y551" s="1" t="s">
        <v>334</v>
      </c>
      <c r="Z551" s="1" t="s">
        <v>46</v>
      </c>
      <c r="AA551" s="1">
        <v>2025</v>
      </c>
      <c r="AB551" s="1" t="s">
        <v>654</v>
      </c>
      <c r="AC551" s="1" t="s">
        <v>90</v>
      </c>
      <c r="AD551" s="1" t="s">
        <v>43</v>
      </c>
      <c r="AE551" s="1" t="s">
        <v>43</v>
      </c>
      <c r="AF551" s="1">
        <v>6</v>
      </c>
      <c r="AG551" s="1" t="s">
        <v>43</v>
      </c>
      <c r="AH551" s="2">
        <v>43494</v>
      </c>
    </row>
    <row r="552" spans="1:34" x14ac:dyDescent="0.3">
      <c r="A552" s="1">
        <v>7616301</v>
      </c>
      <c r="B552" s="1">
        <v>4.78</v>
      </c>
      <c r="C552" s="1">
        <v>199</v>
      </c>
      <c r="D552" s="1">
        <v>209</v>
      </c>
      <c r="E552" s="1" t="s">
        <v>43</v>
      </c>
      <c r="F552" s="1">
        <v>0</v>
      </c>
      <c r="G552" s="1" t="s">
        <v>335</v>
      </c>
      <c r="H552" s="1" t="s">
        <v>1977</v>
      </c>
      <c r="I552" s="1" t="str">
        <f>HYPERLINK("https://www.systembolaget.se/produkt/vin/quinta-de-la-rosa-7616301/","https://www.systembolaget.se/produkt/vin/quinta-de-la-rosa-7616301/")</f>
        <v>https://www.systembolaget.se/produkt/vin/quinta-de-la-rosa-7616301/</v>
      </c>
      <c r="J552" s="1">
        <v>4.78</v>
      </c>
      <c r="K552" s="1">
        <v>4.78</v>
      </c>
      <c r="L552" s="2">
        <v>45810</v>
      </c>
      <c r="M552" s="1" t="s">
        <v>1978</v>
      </c>
      <c r="N552" s="1">
        <v>0.73</v>
      </c>
      <c r="O552" s="1">
        <v>750</v>
      </c>
      <c r="P552" s="1">
        <v>19.5</v>
      </c>
      <c r="Q552" s="1" t="s">
        <v>38</v>
      </c>
      <c r="R552" s="1" t="s">
        <v>338</v>
      </c>
      <c r="S552" s="1" t="s">
        <v>339</v>
      </c>
      <c r="T552" s="1" t="s">
        <v>1979</v>
      </c>
      <c r="U552" s="1" t="s">
        <v>272</v>
      </c>
      <c r="V552" s="1"/>
      <c r="W552" s="1"/>
      <c r="X552" s="1" t="s">
        <v>335</v>
      </c>
      <c r="Y552" s="1" t="s">
        <v>256</v>
      </c>
      <c r="Z552" s="1" t="s">
        <v>43</v>
      </c>
      <c r="AA552" s="1"/>
      <c r="AB552" s="1" t="s">
        <v>77</v>
      </c>
      <c r="AC552" s="1" t="s">
        <v>45</v>
      </c>
      <c r="AD552" s="1" t="s">
        <v>43</v>
      </c>
      <c r="AE552" s="1" t="s">
        <v>43</v>
      </c>
      <c r="AF552" s="1"/>
      <c r="AG552" s="1" t="s">
        <v>43</v>
      </c>
      <c r="AH552" s="2">
        <v>45817</v>
      </c>
    </row>
    <row r="553" spans="1:34" x14ac:dyDescent="0.3">
      <c r="A553" s="1">
        <v>5758501</v>
      </c>
      <c r="B553" s="1">
        <v>4.78</v>
      </c>
      <c r="C553" s="1">
        <v>239</v>
      </c>
      <c r="D553" s="1">
        <v>251</v>
      </c>
      <c r="E553" s="1" t="s">
        <v>43</v>
      </c>
      <c r="F553" s="1">
        <v>0</v>
      </c>
      <c r="G553" s="1" t="s">
        <v>1980</v>
      </c>
      <c r="H553" s="1" t="s">
        <v>1981</v>
      </c>
      <c r="I553" s="1" t="str">
        <f>HYPERLINK("https://www.systembolaget.se/produkt/vin/botanica-5758501/","https://www.systembolaget.se/produkt/vin/botanica-5758501/")</f>
        <v>https://www.systembolaget.se/produkt/vin/botanica-5758501/</v>
      </c>
      <c r="J553" s="1">
        <v>3.63</v>
      </c>
      <c r="K553" s="1">
        <v>4.78</v>
      </c>
      <c r="L553" s="2">
        <v>45444</v>
      </c>
      <c r="M553" s="1" t="s">
        <v>1982</v>
      </c>
      <c r="N553" s="1">
        <v>0.39</v>
      </c>
      <c r="O553" s="1">
        <v>750</v>
      </c>
      <c r="P553" s="1">
        <v>12.5</v>
      </c>
      <c r="Q553" s="1" t="s">
        <v>38</v>
      </c>
      <c r="R553" s="1" t="s">
        <v>39</v>
      </c>
      <c r="S553" s="1"/>
      <c r="T553" s="1"/>
      <c r="U553" s="1" t="s">
        <v>289</v>
      </c>
      <c r="V553" s="1" t="s">
        <v>290</v>
      </c>
      <c r="W553" s="1" t="s">
        <v>1983</v>
      </c>
      <c r="X553" s="1" t="s">
        <v>1984</v>
      </c>
      <c r="Y553" s="1" t="s">
        <v>1956</v>
      </c>
      <c r="Z553" s="1" t="s">
        <v>43</v>
      </c>
      <c r="AA553" s="1">
        <v>2018</v>
      </c>
      <c r="AB553" s="1" t="s">
        <v>44</v>
      </c>
      <c r="AC553" s="1" t="s">
        <v>45</v>
      </c>
      <c r="AD553" s="1" t="s">
        <v>43</v>
      </c>
      <c r="AE553" s="1" t="s">
        <v>43</v>
      </c>
      <c r="AF553" s="1"/>
      <c r="AG553" s="1" t="s">
        <v>43</v>
      </c>
      <c r="AH553" s="2">
        <v>44746</v>
      </c>
    </row>
    <row r="554" spans="1:34" x14ac:dyDescent="0.3">
      <c r="A554" s="1">
        <v>182715</v>
      </c>
      <c r="B554" s="1">
        <v>4.78</v>
      </c>
      <c r="C554" s="1">
        <v>19.899999999999999</v>
      </c>
      <c r="D554" s="1">
        <v>20.9</v>
      </c>
      <c r="E554" s="1" t="s">
        <v>43</v>
      </c>
      <c r="F554" s="1">
        <v>0</v>
      </c>
      <c r="G554" s="1" t="s">
        <v>1985</v>
      </c>
      <c r="H554" s="1" t="s">
        <v>741</v>
      </c>
      <c r="I554" s="1" t="str">
        <f>HYPERLINK("https://www.systembolaget.se/produkt/cider-blanddrycker/cidraie-pear-182715/","https://www.systembolaget.se/produkt/cider-blanddrycker/cidraie-pear-182715/")</f>
        <v>https://www.systembolaget.se/produkt/cider-blanddrycker/cidraie-pear-182715/</v>
      </c>
      <c r="J554" s="1">
        <v>13.1</v>
      </c>
      <c r="K554" s="1">
        <v>4.78</v>
      </c>
      <c r="L554" s="2">
        <v>45389</v>
      </c>
      <c r="M554" s="1" t="s">
        <v>1986</v>
      </c>
      <c r="N554" s="1">
        <v>0.75</v>
      </c>
      <c r="O554" s="1">
        <v>330</v>
      </c>
      <c r="P554" s="1">
        <v>4.5</v>
      </c>
      <c r="Q554" s="1" t="s">
        <v>157</v>
      </c>
      <c r="R554" s="1" t="s">
        <v>158</v>
      </c>
      <c r="S554" s="1" t="s">
        <v>1335</v>
      </c>
      <c r="T554" s="1"/>
      <c r="U554" s="1" t="s">
        <v>101</v>
      </c>
      <c r="V554" s="1"/>
      <c r="W554" s="1"/>
      <c r="X554" s="1" t="s">
        <v>1987</v>
      </c>
      <c r="Y554" s="1" t="s">
        <v>1337</v>
      </c>
      <c r="Z554" s="1" t="s">
        <v>46</v>
      </c>
      <c r="AA554" s="1"/>
      <c r="AB554" s="1" t="s">
        <v>114</v>
      </c>
      <c r="AC554" s="1" t="s">
        <v>90</v>
      </c>
      <c r="AD554" s="1" t="s">
        <v>43</v>
      </c>
      <c r="AE554" s="1" t="s">
        <v>43</v>
      </c>
      <c r="AF554" s="1">
        <v>25</v>
      </c>
      <c r="AG554" s="1" t="s">
        <v>43</v>
      </c>
      <c r="AH554" s="2">
        <v>43617</v>
      </c>
    </row>
    <row r="555" spans="1:34" x14ac:dyDescent="0.3">
      <c r="A555" s="1">
        <v>7556101</v>
      </c>
      <c r="B555" s="1">
        <v>4.7699999999999996</v>
      </c>
      <c r="C555" s="1">
        <v>399</v>
      </c>
      <c r="D555" s="1">
        <v>419</v>
      </c>
      <c r="E555" s="1" t="s">
        <v>43</v>
      </c>
      <c r="F555" s="1">
        <v>0</v>
      </c>
      <c r="G555" s="1" t="s">
        <v>1988</v>
      </c>
      <c r="H555" s="1" t="s">
        <v>1989</v>
      </c>
      <c r="I555" s="1" t="str">
        <f>HYPERLINK("https://www.systembolaget.se/produkt/vin/mafarrico-7556101/","https://www.systembolaget.se/produkt/vin/mafarrico-7556101/")</f>
        <v>https://www.systembolaget.se/produkt/vin/mafarrico-7556101/</v>
      </c>
      <c r="J555" s="1"/>
      <c r="K555" s="1">
        <v>4.7699999999999996</v>
      </c>
      <c r="L555" s="2">
        <v>46090</v>
      </c>
      <c r="M555" s="1" t="s">
        <v>1990</v>
      </c>
      <c r="N555" s="1">
        <v>0.26</v>
      </c>
      <c r="O555" s="1">
        <v>750</v>
      </c>
      <c r="P555" s="1">
        <v>14</v>
      </c>
      <c r="Q555" s="1" t="s">
        <v>38</v>
      </c>
      <c r="R555" s="1" t="s">
        <v>52</v>
      </c>
      <c r="S555" s="1"/>
      <c r="T555" s="1"/>
      <c r="U555" s="1" t="s">
        <v>272</v>
      </c>
      <c r="V555" s="1"/>
      <c r="W555" s="1"/>
      <c r="X555" s="1" t="s">
        <v>1991</v>
      </c>
      <c r="Y555" s="1" t="s">
        <v>905</v>
      </c>
      <c r="Z555" s="1" t="s">
        <v>43</v>
      </c>
      <c r="AA555" s="1">
        <v>2019</v>
      </c>
      <c r="AB555" s="1" t="s">
        <v>44</v>
      </c>
      <c r="AC555" s="1" t="s">
        <v>45</v>
      </c>
      <c r="AD555" s="1" t="s">
        <v>43</v>
      </c>
      <c r="AE555" s="1" t="s">
        <v>43</v>
      </c>
      <c r="AF555" s="1"/>
      <c r="AG555" s="1" t="s">
        <v>43</v>
      </c>
      <c r="AH555" s="2">
        <v>46097</v>
      </c>
    </row>
    <row r="556" spans="1:34" x14ac:dyDescent="0.3">
      <c r="A556" s="1">
        <v>7852101</v>
      </c>
      <c r="B556" s="1">
        <v>4.7699999999999996</v>
      </c>
      <c r="C556" s="1">
        <v>399</v>
      </c>
      <c r="D556" s="1">
        <v>419</v>
      </c>
      <c r="E556" s="1" t="s">
        <v>43</v>
      </c>
      <c r="F556" s="1">
        <v>0</v>
      </c>
      <c r="G556" s="1" t="s">
        <v>1988</v>
      </c>
      <c r="H556" s="1" t="s">
        <v>1992</v>
      </c>
      <c r="I556" s="1" t="str">
        <f>HYPERLINK("https://www.systembolaget.se/produkt/vin/mafarrico-7852101/","https://www.systembolaget.se/produkt/vin/mafarrico-7852101/")</f>
        <v>https://www.systembolaget.se/produkt/vin/mafarrico-7852101/</v>
      </c>
      <c r="J556" s="1"/>
      <c r="K556" s="1">
        <v>4.7699999999999996</v>
      </c>
      <c r="L556" s="2">
        <v>46090</v>
      </c>
      <c r="M556" s="1" t="s">
        <v>1990</v>
      </c>
      <c r="N556" s="1">
        <v>0.25</v>
      </c>
      <c r="O556" s="1">
        <v>750</v>
      </c>
      <c r="P556" s="1">
        <v>13.5</v>
      </c>
      <c r="Q556" s="1" t="s">
        <v>38</v>
      </c>
      <c r="R556" s="1" t="s">
        <v>39</v>
      </c>
      <c r="S556" s="1"/>
      <c r="T556" s="1"/>
      <c r="U556" s="1" t="s">
        <v>272</v>
      </c>
      <c r="V556" s="1"/>
      <c r="W556" s="1"/>
      <c r="X556" s="1" t="s">
        <v>1991</v>
      </c>
      <c r="Y556" s="1" t="s">
        <v>905</v>
      </c>
      <c r="Z556" s="1" t="s">
        <v>43</v>
      </c>
      <c r="AA556" s="1">
        <v>2019</v>
      </c>
      <c r="AB556" s="1" t="s">
        <v>44</v>
      </c>
      <c r="AC556" s="1" t="s">
        <v>45</v>
      </c>
      <c r="AD556" s="1" t="s">
        <v>43</v>
      </c>
      <c r="AE556" s="1" t="s">
        <v>43</v>
      </c>
      <c r="AF556" s="1"/>
      <c r="AG556" s="1" t="s">
        <v>43</v>
      </c>
      <c r="AH556" s="2">
        <v>46097</v>
      </c>
    </row>
    <row r="557" spans="1:34" x14ac:dyDescent="0.3">
      <c r="A557" s="1">
        <v>9037101</v>
      </c>
      <c r="B557" s="1">
        <v>4.76</v>
      </c>
      <c r="C557" s="1">
        <v>1999</v>
      </c>
      <c r="D557" s="1">
        <v>2099</v>
      </c>
      <c r="E557" s="1" t="s">
        <v>43</v>
      </c>
      <c r="F557" s="1">
        <v>0</v>
      </c>
      <c r="G557" s="1" t="s">
        <v>1993</v>
      </c>
      <c r="H557" s="1" t="s">
        <v>967</v>
      </c>
      <c r="I557" s="1" t="str">
        <f>HYPERLINK("https://www.systembolaget.se/produkt/vin/barolo-riserva-bricco-voghera-9037101/","https://www.systembolaget.se/produkt/vin/barolo-riserva-bricco-voghera-9037101/")</f>
        <v>https://www.systembolaget.se/produkt/vin/barolo-riserva-bricco-voghera-9037101/</v>
      </c>
      <c r="J557" s="1">
        <v>4.76</v>
      </c>
      <c r="K557" s="1">
        <v>4.76</v>
      </c>
      <c r="L557" s="2">
        <v>45389</v>
      </c>
      <c r="M557" s="1" t="s">
        <v>1994</v>
      </c>
      <c r="N557" s="1">
        <v>0.05</v>
      </c>
      <c r="O557" s="1">
        <v>750</v>
      </c>
      <c r="P557" s="1">
        <v>14.5</v>
      </c>
      <c r="Q557" s="1" t="s">
        <v>38</v>
      </c>
      <c r="R557" s="1" t="s">
        <v>52</v>
      </c>
      <c r="S557" s="1"/>
      <c r="T557" s="1"/>
      <c r="U557" s="1" t="s">
        <v>53</v>
      </c>
      <c r="V557" s="1" t="s">
        <v>95</v>
      </c>
      <c r="W557" s="1" t="s">
        <v>969</v>
      </c>
      <c r="X557" s="1" t="s">
        <v>967</v>
      </c>
      <c r="Y557" s="1" t="s">
        <v>678</v>
      </c>
      <c r="Z557" s="1" t="s">
        <v>43</v>
      </c>
      <c r="AA557" s="1">
        <v>2013</v>
      </c>
      <c r="AB557" s="1" t="s">
        <v>44</v>
      </c>
      <c r="AC557" s="1" t="s">
        <v>45</v>
      </c>
      <c r="AD557" s="1" t="s">
        <v>43</v>
      </c>
      <c r="AE557" s="1" t="s">
        <v>43</v>
      </c>
      <c r="AF557" s="1"/>
      <c r="AG557" s="1" t="s">
        <v>43</v>
      </c>
      <c r="AH557" s="2">
        <v>45365</v>
      </c>
    </row>
    <row r="558" spans="1:34" x14ac:dyDescent="0.3">
      <c r="A558" s="1">
        <v>8448301</v>
      </c>
      <c r="B558" s="1">
        <v>4.62</v>
      </c>
      <c r="C558" s="1">
        <v>949</v>
      </c>
      <c r="D558" s="1">
        <v>995</v>
      </c>
      <c r="E558" s="1" t="s">
        <v>43</v>
      </c>
      <c r="F558" s="1">
        <v>0</v>
      </c>
      <c r="G558" s="1" t="s">
        <v>632</v>
      </c>
      <c r="H558" s="1" t="s">
        <v>1995</v>
      </c>
      <c r="I558" s="1" t="str">
        <f>HYPERLINK("https://www.systembolaget.se/produkt/sprit/loch-lomond-group-8448301/","https://www.systembolaget.se/produkt/sprit/loch-lomond-group-8448301/")</f>
        <v>https://www.systembolaget.se/produkt/sprit/loch-lomond-group-8448301/</v>
      </c>
      <c r="J558" s="1">
        <v>4.62</v>
      </c>
      <c r="K558" s="1">
        <v>4.62</v>
      </c>
      <c r="L558" s="2">
        <v>45684</v>
      </c>
      <c r="M558" s="1" t="s">
        <v>1996</v>
      </c>
      <c r="N558" s="1">
        <v>0.34</v>
      </c>
      <c r="O558" s="1">
        <v>700</v>
      </c>
      <c r="P558" s="1">
        <v>46.2</v>
      </c>
      <c r="Q558" s="1" t="s">
        <v>308</v>
      </c>
      <c r="R558" s="1" t="s">
        <v>309</v>
      </c>
      <c r="S558" s="1" t="s">
        <v>318</v>
      </c>
      <c r="T558" s="1"/>
      <c r="U558" s="1" t="s">
        <v>253</v>
      </c>
      <c r="V558" s="1" t="s">
        <v>254</v>
      </c>
      <c r="W558" s="1"/>
      <c r="X558" s="1" t="s">
        <v>632</v>
      </c>
      <c r="Y558" s="1" t="s">
        <v>261</v>
      </c>
      <c r="Z558" s="1" t="s">
        <v>43</v>
      </c>
      <c r="AA558" s="1"/>
      <c r="AB558" s="1" t="s">
        <v>44</v>
      </c>
      <c r="AC558" s="1" t="s">
        <v>45</v>
      </c>
      <c r="AD558" s="1" t="s">
        <v>43</v>
      </c>
      <c r="AE558" s="1" t="s">
        <v>43</v>
      </c>
      <c r="AF558" s="1"/>
      <c r="AG558" s="1" t="s">
        <v>43</v>
      </c>
      <c r="AH558" s="2">
        <v>45691</v>
      </c>
    </row>
    <row r="559" spans="1:34" x14ac:dyDescent="0.3">
      <c r="A559" s="1">
        <v>5825801</v>
      </c>
      <c r="B559" s="1">
        <v>4.62</v>
      </c>
      <c r="C559" s="1">
        <v>619</v>
      </c>
      <c r="D559" s="1">
        <v>649</v>
      </c>
      <c r="E559" s="1" t="s">
        <v>43</v>
      </c>
      <c r="F559" s="1">
        <v>0</v>
      </c>
      <c r="G559" s="1" t="s">
        <v>1997</v>
      </c>
      <c r="H559" s="1" t="s">
        <v>1998</v>
      </c>
      <c r="I559" s="1" t="str">
        <f>HYPERLINK("https://www.systembolaget.se/produkt/sprit/okinawa-5825801/","https://www.systembolaget.se/produkt/sprit/okinawa-5825801/")</f>
        <v>https://www.systembolaget.se/produkt/sprit/okinawa-5825801/</v>
      </c>
      <c r="J559" s="1">
        <v>1.59</v>
      </c>
      <c r="K559" s="1">
        <v>4.62</v>
      </c>
      <c r="L559" s="2">
        <v>45389</v>
      </c>
      <c r="M559" s="1" t="s">
        <v>1999</v>
      </c>
      <c r="N559" s="1">
        <v>0.53</v>
      </c>
      <c r="O559" s="1">
        <v>700</v>
      </c>
      <c r="P559" s="1">
        <v>47</v>
      </c>
      <c r="Q559" s="1" t="s">
        <v>308</v>
      </c>
      <c r="R559" s="1" t="s">
        <v>487</v>
      </c>
      <c r="S559" s="1" t="s">
        <v>488</v>
      </c>
      <c r="T559" s="1"/>
      <c r="U559" s="1" t="s">
        <v>855</v>
      </c>
      <c r="V559" s="1"/>
      <c r="W559" s="1"/>
      <c r="X559" s="1" t="s">
        <v>2000</v>
      </c>
      <c r="Y559" s="1" t="s">
        <v>1767</v>
      </c>
      <c r="Z559" s="1" t="s">
        <v>43</v>
      </c>
      <c r="AA559" s="1"/>
      <c r="AB559" s="1" t="s">
        <v>44</v>
      </c>
      <c r="AC559" s="1" t="s">
        <v>45</v>
      </c>
      <c r="AD559" s="1" t="s">
        <v>43</v>
      </c>
      <c r="AE559" s="1" t="s">
        <v>43</v>
      </c>
      <c r="AF559" s="1"/>
      <c r="AG559" s="1" t="s">
        <v>43</v>
      </c>
      <c r="AH559" s="2">
        <v>44796</v>
      </c>
    </row>
    <row r="560" spans="1:34" x14ac:dyDescent="0.3">
      <c r="A560" s="1">
        <v>5972308</v>
      </c>
      <c r="B560" s="1">
        <v>4.57</v>
      </c>
      <c r="C560" s="1">
        <v>209</v>
      </c>
      <c r="D560" s="1">
        <v>219</v>
      </c>
      <c r="E560" s="1" t="s">
        <v>43</v>
      </c>
      <c r="F560" s="1">
        <v>0</v>
      </c>
      <c r="G560" s="1" t="s">
        <v>2001</v>
      </c>
      <c r="H560" s="1" t="s">
        <v>2002</v>
      </c>
      <c r="I560" s="1" t="str">
        <f>HYPERLINK("https://www.systembolaget.se/produkt/vin/in-the-mood-5972308/","https://www.systembolaget.se/produkt/vin/in-the-mood-5972308/")</f>
        <v>https://www.systembolaget.se/produkt/vin/in-the-mood-5972308/</v>
      </c>
      <c r="J560" s="1">
        <v>4.57</v>
      </c>
      <c r="K560" s="1">
        <v>4.57</v>
      </c>
      <c r="L560" s="2">
        <v>45444</v>
      </c>
      <c r="M560" s="1" t="s">
        <v>2003</v>
      </c>
      <c r="N560" s="1">
        <v>2.0099999999999998</v>
      </c>
      <c r="O560" s="1">
        <v>3000</v>
      </c>
      <c r="P560" s="1">
        <v>14</v>
      </c>
      <c r="Q560" s="1" t="s">
        <v>38</v>
      </c>
      <c r="R560" s="1" t="s">
        <v>52</v>
      </c>
      <c r="S560" s="1" t="s">
        <v>386</v>
      </c>
      <c r="T560" s="1"/>
      <c r="U560" s="1" t="s">
        <v>289</v>
      </c>
      <c r="V560" s="1" t="s">
        <v>290</v>
      </c>
      <c r="W560" s="1"/>
      <c r="X560" s="1" t="s">
        <v>1932</v>
      </c>
      <c r="Y560" s="1" t="s">
        <v>188</v>
      </c>
      <c r="Z560" s="1" t="s">
        <v>43</v>
      </c>
      <c r="AA560" s="1">
        <v>2025</v>
      </c>
      <c r="AB560" s="1" t="s">
        <v>654</v>
      </c>
      <c r="AC560" s="1" t="s">
        <v>90</v>
      </c>
      <c r="AD560" s="1" t="s">
        <v>43</v>
      </c>
      <c r="AE560" s="1" t="s">
        <v>43</v>
      </c>
      <c r="AF560" s="1">
        <v>5</v>
      </c>
      <c r="AG560" s="1" t="s">
        <v>43</v>
      </c>
      <c r="AH560" s="2">
        <v>44951</v>
      </c>
    </row>
    <row r="561" spans="1:34" x14ac:dyDescent="0.3">
      <c r="A561" s="1">
        <v>107015</v>
      </c>
      <c r="B561" s="1">
        <v>4.57</v>
      </c>
      <c r="C561" s="1">
        <v>20.9</v>
      </c>
      <c r="D561" s="1">
        <v>21.9</v>
      </c>
      <c r="E561" s="1" t="s">
        <v>43</v>
      </c>
      <c r="F561" s="1">
        <v>0</v>
      </c>
      <c r="G561" s="1" t="s">
        <v>1821</v>
      </c>
      <c r="H561" s="1" t="s">
        <v>1822</v>
      </c>
      <c r="I561" s="1" t="str">
        <f>HYPERLINK("https://www.systembolaget.se/produkt/cider-blanddrycker/local-hard-seltzer-107015/","https://www.systembolaget.se/produkt/cider-blanddrycker/local-hard-seltzer-107015/")</f>
        <v>https://www.systembolaget.se/produkt/cider-blanddrycker/local-hard-seltzer-107015/</v>
      </c>
      <c r="J561" s="1">
        <v>4.57</v>
      </c>
      <c r="K561" s="1">
        <v>4.57</v>
      </c>
      <c r="L561" s="2">
        <v>45468</v>
      </c>
      <c r="M561" s="1" t="s">
        <v>2004</v>
      </c>
      <c r="N561" s="1">
        <v>0.71</v>
      </c>
      <c r="O561" s="1">
        <v>330</v>
      </c>
      <c r="P561" s="1">
        <v>4.5</v>
      </c>
      <c r="Q561" s="1" t="s">
        <v>157</v>
      </c>
      <c r="R561" s="1" t="s">
        <v>663</v>
      </c>
      <c r="S561" s="1" t="s">
        <v>1634</v>
      </c>
      <c r="T561" s="1"/>
      <c r="U561" s="1" t="s">
        <v>1824</v>
      </c>
      <c r="V561" s="1"/>
      <c r="W561" s="1"/>
      <c r="X561" s="1" t="s">
        <v>1825</v>
      </c>
      <c r="Y561" s="1" t="s">
        <v>1337</v>
      </c>
      <c r="Z561" s="1" t="s">
        <v>46</v>
      </c>
      <c r="AA561" s="1"/>
      <c r="AB561" s="1" t="s">
        <v>114</v>
      </c>
      <c r="AC561" s="1" t="s">
        <v>90</v>
      </c>
      <c r="AD561" s="1" t="s">
        <v>43</v>
      </c>
      <c r="AE561" s="1" t="s">
        <v>43</v>
      </c>
      <c r="AF561" s="1">
        <v>7</v>
      </c>
      <c r="AG561" s="1" t="s">
        <v>43</v>
      </c>
      <c r="AH561" s="2">
        <v>44713</v>
      </c>
    </row>
    <row r="562" spans="1:34" x14ac:dyDescent="0.3">
      <c r="A562" s="1">
        <v>129915</v>
      </c>
      <c r="B562" s="1">
        <v>4.57</v>
      </c>
      <c r="C562" s="1">
        <v>20.9</v>
      </c>
      <c r="D562" s="1">
        <v>21.9</v>
      </c>
      <c r="E562" s="1" t="s">
        <v>43</v>
      </c>
      <c r="F562" s="1">
        <v>0</v>
      </c>
      <c r="G562" s="1" t="s">
        <v>1821</v>
      </c>
      <c r="H562" s="1"/>
      <c r="I562" s="1" t="str">
        <f>HYPERLINK("https://www.systembolaget.se/produkt/cider-blanddrycker/local-hard-seltzer-129915/","https://www.systembolaget.se/produkt/cider-blanddrycker/local-hard-seltzer-129915/")</f>
        <v>https://www.systembolaget.se/produkt/cider-blanddrycker/local-hard-seltzer-129915/</v>
      </c>
      <c r="J562" s="1">
        <v>4.57</v>
      </c>
      <c r="K562" s="1">
        <v>4.57</v>
      </c>
      <c r="L562" s="2">
        <v>45389</v>
      </c>
      <c r="M562" s="1" t="s">
        <v>2004</v>
      </c>
      <c r="N562" s="1">
        <v>0.71</v>
      </c>
      <c r="O562" s="1">
        <v>330</v>
      </c>
      <c r="P562" s="1">
        <v>4.5</v>
      </c>
      <c r="Q562" s="1" t="s">
        <v>157</v>
      </c>
      <c r="R562" s="1" t="s">
        <v>663</v>
      </c>
      <c r="S562" s="1" t="s">
        <v>1634</v>
      </c>
      <c r="T562" s="1"/>
      <c r="U562" s="1" t="s">
        <v>110</v>
      </c>
      <c r="V562" s="1"/>
      <c r="W562" s="1"/>
      <c r="X562" s="1" t="s">
        <v>2005</v>
      </c>
      <c r="Y562" s="1" t="s">
        <v>1337</v>
      </c>
      <c r="Z562" s="1" t="s">
        <v>43</v>
      </c>
      <c r="AA562" s="1"/>
      <c r="AB562" s="1" t="s">
        <v>114</v>
      </c>
      <c r="AC562" s="1" t="s">
        <v>90</v>
      </c>
      <c r="AD562" s="1" t="s">
        <v>43</v>
      </c>
      <c r="AE562" s="1" t="s">
        <v>43</v>
      </c>
      <c r="AF562" s="1">
        <v>6</v>
      </c>
      <c r="AG562" s="1" t="s">
        <v>43</v>
      </c>
      <c r="AH562" s="2">
        <v>44075</v>
      </c>
    </row>
    <row r="563" spans="1:34" x14ac:dyDescent="0.3">
      <c r="A563" s="1">
        <v>129935</v>
      </c>
      <c r="B563" s="1">
        <v>4.57</v>
      </c>
      <c r="C563" s="1">
        <v>20.9</v>
      </c>
      <c r="D563" s="1">
        <v>21.9</v>
      </c>
      <c r="E563" s="1" t="s">
        <v>43</v>
      </c>
      <c r="F563" s="1">
        <v>0</v>
      </c>
      <c r="G563" s="1" t="s">
        <v>1821</v>
      </c>
      <c r="H563" s="1"/>
      <c r="I563" s="1" t="str">
        <f>HYPERLINK("https://www.systembolaget.se/produkt/cider-blanddrycker/local-hard-seltzer-129935/","https://www.systembolaget.se/produkt/cider-blanddrycker/local-hard-seltzer-129935/")</f>
        <v>https://www.systembolaget.se/produkt/cider-blanddrycker/local-hard-seltzer-129935/</v>
      </c>
      <c r="J563" s="1"/>
      <c r="K563" s="1">
        <v>4.57</v>
      </c>
      <c r="L563" s="2">
        <v>46106</v>
      </c>
      <c r="M563" s="1" t="s">
        <v>2004</v>
      </c>
      <c r="N563" s="1">
        <v>0.71</v>
      </c>
      <c r="O563" s="1">
        <v>330</v>
      </c>
      <c r="P563" s="1">
        <v>4.5</v>
      </c>
      <c r="Q563" s="1" t="s">
        <v>157</v>
      </c>
      <c r="R563" s="1" t="s">
        <v>663</v>
      </c>
      <c r="S563" s="1" t="s">
        <v>1634</v>
      </c>
      <c r="T563" s="1"/>
      <c r="U563" s="1" t="s">
        <v>110</v>
      </c>
      <c r="V563" s="1"/>
      <c r="W563" s="1"/>
      <c r="X563" s="1" t="s">
        <v>2005</v>
      </c>
      <c r="Y563" s="1" t="s">
        <v>1337</v>
      </c>
      <c r="Z563" s="1" t="s">
        <v>43</v>
      </c>
      <c r="AA563" s="1"/>
      <c r="AB563" s="1" t="s">
        <v>114</v>
      </c>
      <c r="AC563" s="1" t="s">
        <v>90</v>
      </c>
      <c r="AD563" s="1" t="s">
        <v>43</v>
      </c>
      <c r="AE563" s="1" t="s">
        <v>43</v>
      </c>
      <c r="AF563" s="1">
        <v>4</v>
      </c>
      <c r="AG563" s="1" t="s">
        <v>43</v>
      </c>
      <c r="AH563" s="2">
        <v>46113</v>
      </c>
    </row>
    <row r="564" spans="1:34" x14ac:dyDescent="0.3">
      <c r="A564" s="1">
        <v>3247434</v>
      </c>
      <c r="B564" s="1">
        <v>4.57</v>
      </c>
      <c r="C564" s="1">
        <v>43.9</v>
      </c>
      <c r="D564" s="1">
        <v>46</v>
      </c>
      <c r="E564" s="1" t="s">
        <v>43</v>
      </c>
      <c r="F564" s="1">
        <v>0</v>
      </c>
      <c r="G564" s="1" t="s">
        <v>1376</v>
      </c>
      <c r="H564" s="1" t="s">
        <v>2006</v>
      </c>
      <c r="I564" s="1" t="str">
        <f>HYPERLINK("https://www.systembolaget.se/produkt/ol/crooked-moon-3247434/","https://www.systembolaget.se/produkt/ol/crooked-moon-3247434/")</f>
        <v>https://www.systembolaget.se/produkt/ol/crooked-moon-3247434/</v>
      </c>
      <c r="J564" s="1"/>
      <c r="K564" s="1">
        <v>4.57</v>
      </c>
      <c r="L564" s="2">
        <v>46104</v>
      </c>
      <c r="M564" s="1" t="s">
        <v>2007</v>
      </c>
      <c r="N564" s="1">
        <v>0.83</v>
      </c>
      <c r="O564" s="1">
        <v>440</v>
      </c>
      <c r="P564" s="1">
        <v>8.3000000000000007</v>
      </c>
      <c r="Q564" s="1" t="s">
        <v>107</v>
      </c>
      <c r="R564" s="1" t="s">
        <v>108</v>
      </c>
      <c r="S564" s="1" t="s">
        <v>109</v>
      </c>
      <c r="T564" s="1"/>
      <c r="U564" s="1" t="s">
        <v>110</v>
      </c>
      <c r="V564" s="1" t="s">
        <v>694</v>
      </c>
      <c r="W564" s="1" t="s">
        <v>695</v>
      </c>
      <c r="X564" s="1" t="s">
        <v>1379</v>
      </c>
      <c r="Y564" s="1" t="s">
        <v>1379</v>
      </c>
      <c r="Z564" s="1" t="s">
        <v>43</v>
      </c>
      <c r="AA564" s="1"/>
      <c r="AB564" s="1" t="s">
        <v>114</v>
      </c>
      <c r="AC564" s="1" t="s">
        <v>115</v>
      </c>
      <c r="AD564" s="1" t="s">
        <v>43</v>
      </c>
      <c r="AE564" s="1" t="s">
        <v>43</v>
      </c>
      <c r="AF564" s="1"/>
      <c r="AG564" s="1" t="s">
        <v>43</v>
      </c>
      <c r="AH564" s="2">
        <v>46125</v>
      </c>
    </row>
    <row r="565" spans="1:34" x14ac:dyDescent="0.3">
      <c r="A565" s="1">
        <v>3078503</v>
      </c>
      <c r="B565" s="1">
        <v>4.53</v>
      </c>
      <c r="C565" s="1">
        <v>29.5</v>
      </c>
      <c r="D565" s="1">
        <v>30.9</v>
      </c>
      <c r="E565" s="1" t="s">
        <v>551</v>
      </c>
      <c r="F565" s="1">
        <v>0</v>
      </c>
      <c r="G565" s="1" t="s">
        <v>2008</v>
      </c>
      <c r="H565" s="1" t="s">
        <v>2009</v>
      </c>
      <c r="I565" s="1" t="str">
        <f>HYPERLINK("https://www.systembolaget.se/produkt/ol/ahlafors-3078503/","https://www.systembolaget.se/produkt/ol/ahlafors-3078503/")</f>
        <v>https://www.systembolaget.se/produkt/ol/ahlafors-3078503/</v>
      </c>
      <c r="J565" s="1"/>
      <c r="K565" s="1">
        <v>4.53</v>
      </c>
      <c r="L565" s="2">
        <v>46034</v>
      </c>
      <c r="M565" s="1" t="s">
        <v>2010</v>
      </c>
      <c r="N565" s="1">
        <v>0.67</v>
      </c>
      <c r="O565" s="1">
        <v>330</v>
      </c>
      <c r="P565" s="1">
        <v>6</v>
      </c>
      <c r="Q565" s="1" t="s">
        <v>107</v>
      </c>
      <c r="R565" s="1" t="s">
        <v>108</v>
      </c>
      <c r="S565" s="1" t="s">
        <v>790</v>
      </c>
      <c r="T565" s="1"/>
      <c r="U565" s="1" t="s">
        <v>110</v>
      </c>
      <c r="V565" s="1" t="s">
        <v>136</v>
      </c>
      <c r="W565" s="1" t="s">
        <v>2011</v>
      </c>
      <c r="X565" s="1" t="s">
        <v>2012</v>
      </c>
      <c r="Y565" s="1" t="s">
        <v>2013</v>
      </c>
      <c r="Z565" s="1" t="s">
        <v>43</v>
      </c>
      <c r="AA565" s="1"/>
      <c r="AB565" s="1" t="s">
        <v>44</v>
      </c>
      <c r="AC565" s="1" t="s">
        <v>115</v>
      </c>
      <c r="AD565" s="1" t="s">
        <v>46</v>
      </c>
      <c r="AE565" s="1" t="s">
        <v>43</v>
      </c>
      <c r="AF565" s="1"/>
      <c r="AG565" s="1" t="s">
        <v>43</v>
      </c>
      <c r="AH565" s="2">
        <v>46055</v>
      </c>
    </row>
    <row r="566" spans="1:34" x14ac:dyDescent="0.3">
      <c r="A566" s="1">
        <v>770801</v>
      </c>
      <c r="B566" s="1">
        <v>4.4400000000000004</v>
      </c>
      <c r="C566" s="1">
        <v>129</v>
      </c>
      <c r="D566" s="1">
        <v>135</v>
      </c>
      <c r="E566" s="1" t="s">
        <v>43</v>
      </c>
      <c r="F566" s="1">
        <v>0</v>
      </c>
      <c r="G566" s="1" t="s">
        <v>2014</v>
      </c>
      <c r="H566" s="1" t="s">
        <v>2015</v>
      </c>
      <c r="I566" s="1" t="str">
        <f>HYPERLINK("https://www.systembolaget.se/produkt/vin/gardo-morris-770801/","https://www.systembolaget.se/produkt/vin/gardo-morris-770801/")</f>
        <v>https://www.systembolaget.se/produkt/vin/gardo-morris-770801/</v>
      </c>
      <c r="J566" s="1">
        <v>0</v>
      </c>
      <c r="K566" s="1">
        <v>4.4400000000000004</v>
      </c>
      <c r="L566" s="2">
        <v>45468</v>
      </c>
      <c r="M566" s="1" t="s">
        <v>2016</v>
      </c>
      <c r="N566" s="1">
        <v>0.76</v>
      </c>
      <c r="O566" s="1">
        <v>750</v>
      </c>
      <c r="P566" s="1">
        <v>13</v>
      </c>
      <c r="Q566" s="1" t="s">
        <v>38</v>
      </c>
      <c r="R566" s="1" t="s">
        <v>61</v>
      </c>
      <c r="S566" s="1" t="s">
        <v>68</v>
      </c>
      <c r="T566" s="1"/>
      <c r="U566" s="1" t="s">
        <v>387</v>
      </c>
      <c r="V566" s="1" t="s">
        <v>421</v>
      </c>
      <c r="W566" s="1"/>
      <c r="X566" s="1" t="s">
        <v>2017</v>
      </c>
      <c r="Y566" s="1" t="s">
        <v>2018</v>
      </c>
      <c r="Z566" s="1" t="s">
        <v>43</v>
      </c>
      <c r="AA566" s="1">
        <v>2024</v>
      </c>
      <c r="AB566" s="1" t="s">
        <v>77</v>
      </c>
      <c r="AC566" s="1" t="s">
        <v>90</v>
      </c>
      <c r="AD566" s="1" t="s">
        <v>43</v>
      </c>
      <c r="AE566" s="1" t="s">
        <v>43</v>
      </c>
      <c r="AF566" s="1">
        <v>7</v>
      </c>
      <c r="AG566" s="1" t="s">
        <v>43</v>
      </c>
      <c r="AH566" s="2">
        <v>41334</v>
      </c>
    </row>
    <row r="567" spans="1:34" x14ac:dyDescent="0.3">
      <c r="A567" s="1">
        <v>7373801</v>
      </c>
      <c r="B567" s="1">
        <v>4.4400000000000004</v>
      </c>
      <c r="C567" s="1">
        <v>129</v>
      </c>
      <c r="D567" s="1">
        <v>135</v>
      </c>
      <c r="E567" s="1" t="s">
        <v>43</v>
      </c>
      <c r="F567" s="1">
        <v>0</v>
      </c>
      <c r="G567" s="1" t="s">
        <v>2019</v>
      </c>
      <c r="H567" s="1" t="s">
        <v>183</v>
      </c>
      <c r="I567" s="1" t="str">
        <f>HYPERLINK("https://www.systembolaget.se/produkt/vin/king-s-bay-7373801/","https://www.systembolaget.se/produkt/vin/king-s-bay-7373801/")</f>
        <v>https://www.systembolaget.se/produkt/vin/king-s-bay-7373801/</v>
      </c>
      <c r="J567" s="1">
        <v>4.4400000000000004</v>
      </c>
      <c r="K567" s="1">
        <v>4.4400000000000004</v>
      </c>
      <c r="L567" s="2">
        <v>45486</v>
      </c>
      <c r="M567" s="1" t="s">
        <v>2020</v>
      </c>
      <c r="N567" s="1">
        <v>0.73</v>
      </c>
      <c r="O567" s="1">
        <v>750</v>
      </c>
      <c r="P567" s="1">
        <v>12.5</v>
      </c>
      <c r="Q567" s="1" t="s">
        <v>38</v>
      </c>
      <c r="R567" s="1" t="s">
        <v>39</v>
      </c>
      <c r="S567" s="1" t="s">
        <v>184</v>
      </c>
      <c r="T567" s="1"/>
      <c r="U567" s="1" t="s">
        <v>387</v>
      </c>
      <c r="V567" s="1" t="s">
        <v>421</v>
      </c>
      <c r="W567" s="1"/>
      <c r="X567" s="1" t="s">
        <v>1115</v>
      </c>
      <c r="Y567" s="1" t="s">
        <v>334</v>
      </c>
      <c r="Z567" s="1" t="s">
        <v>46</v>
      </c>
      <c r="AA567" s="1">
        <v>2025</v>
      </c>
      <c r="AB567" s="1" t="s">
        <v>77</v>
      </c>
      <c r="AC567" s="1" t="s">
        <v>90</v>
      </c>
      <c r="AD567" s="1" t="s">
        <v>43</v>
      </c>
      <c r="AE567" s="1" t="s">
        <v>43</v>
      </c>
      <c r="AF567" s="1">
        <v>6</v>
      </c>
      <c r="AG567" s="1" t="s">
        <v>43</v>
      </c>
      <c r="AH567" s="2">
        <v>42724</v>
      </c>
    </row>
    <row r="568" spans="1:34" x14ac:dyDescent="0.3">
      <c r="A568" s="1">
        <v>3891035</v>
      </c>
      <c r="B568" s="1">
        <v>4.3499999999999996</v>
      </c>
      <c r="C568" s="1">
        <v>22</v>
      </c>
      <c r="D568" s="1">
        <v>23</v>
      </c>
      <c r="E568" s="1" t="s">
        <v>43</v>
      </c>
      <c r="F568" s="1">
        <v>0</v>
      </c>
      <c r="G568" s="1" t="s">
        <v>2021</v>
      </c>
      <c r="H568" s="1" t="s">
        <v>2022</v>
      </c>
      <c r="I568" s="1" t="str">
        <f>HYPERLINK("https://www.systembolaget.se/produkt/ol/obrygd-3891035/","https://www.systembolaget.se/produkt/ol/obrygd-3891035/")</f>
        <v>https://www.systembolaget.se/produkt/ol/obrygd-3891035/</v>
      </c>
      <c r="J568" s="1"/>
      <c r="K568" s="1">
        <v>4.3499999999999996</v>
      </c>
      <c r="L568" s="2">
        <v>46062</v>
      </c>
      <c r="M568" s="1" t="s">
        <v>2023</v>
      </c>
      <c r="N568" s="1">
        <v>0.78</v>
      </c>
      <c r="O568" s="1">
        <v>330</v>
      </c>
      <c r="P568" s="1">
        <v>5.2</v>
      </c>
      <c r="Q568" s="1" t="s">
        <v>107</v>
      </c>
      <c r="R568" s="1" t="s">
        <v>134</v>
      </c>
      <c r="S568" s="1" t="s">
        <v>243</v>
      </c>
      <c r="T568" s="1"/>
      <c r="U568" s="1" t="s">
        <v>110</v>
      </c>
      <c r="V568" s="1" t="s">
        <v>2024</v>
      </c>
      <c r="W568" s="1" t="s">
        <v>2025</v>
      </c>
      <c r="X568" s="1" t="s">
        <v>2021</v>
      </c>
      <c r="Y568" s="1" t="s">
        <v>2026</v>
      </c>
      <c r="Z568" s="1" t="s">
        <v>43</v>
      </c>
      <c r="AA568" s="1"/>
      <c r="AB568" s="1" t="s">
        <v>114</v>
      </c>
      <c r="AC568" s="1" t="s">
        <v>115</v>
      </c>
      <c r="AD568" s="1" t="s">
        <v>43</v>
      </c>
      <c r="AE568" s="1" t="s">
        <v>43</v>
      </c>
      <c r="AF568" s="1"/>
      <c r="AG568" s="1" t="s">
        <v>43</v>
      </c>
      <c r="AH568" s="2">
        <v>46083</v>
      </c>
    </row>
    <row r="569" spans="1:34" x14ac:dyDescent="0.3">
      <c r="A569" s="1">
        <v>8180601</v>
      </c>
      <c r="B569" s="1">
        <v>4.34</v>
      </c>
      <c r="C569" s="1">
        <v>1190</v>
      </c>
      <c r="D569" s="1">
        <v>1244</v>
      </c>
      <c r="E569" s="1" t="s">
        <v>43</v>
      </c>
      <c r="F569" s="1">
        <v>0</v>
      </c>
      <c r="G569" s="1" t="s">
        <v>2027</v>
      </c>
      <c r="H569" s="1" t="s">
        <v>2028</v>
      </c>
      <c r="I569" s="1" t="str">
        <f>HYPERLINK("https://www.systembolaget.se/produkt/sprit/lindores-abbey-8180601/","https://www.systembolaget.se/produkt/sprit/lindores-abbey-8180601/")</f>
        <v>https://www.systembolaget.se/produkt/sprit/lindores-abbey-8180601/</v>
      </c>
      <c r="J569" s="1">
        <v>4.1900000000000004</v>
      </c>
      <c r="K569" s="1">
        <v>4.34</v>
      </c>
      <c r="L569" s="2">
        <v>45796</v>
      </c>
      <c r="M569" s="1" t="s">
        <v>2029</v>
      </c>
      <c r="N569" s="1">
        <v>0.33</v>
      </c>
      <c r="O569" s="1">
        <v>700</v>
      </c>
      <c r="P569" s="1">
        <v>56.4</v>
      </c>
      <c r="Q569" s="1" t="s">
        <v>308</v>
      </c>
      <c r="R569" s="1" t="s">
        <v>309</v>
      </c>
      <c r="S569" s="1" t="s">
        <v>318</v>
      </c>
      <c r="T569" s="1"/>
      <c r="U569" s="1" t="s">
        <v>253</v>
      </c>
      <c r="V569" s="1" t="s">
        <v>254</v>
      </c>
      <c r="W569" s="1" t="s">
        <v>1191</v>
      </c>
      <c r="X569" s="1" t="s">
        <v>2030</v>
      </c>
      <c r="Y569" s="1" t="s">
        <v>2031</v>
      </c>
      <c r="Z569" s="1" t="s">
        <v>43</v>
      </c>
      <c r="AA569" s="1"/>
      <c r="AB569" s="1" t="s">
        <v>44</v>
      </c>
      <c r="AC569" s="1" t="s">
        <v>45</v>
      </c>
      <c r="AD569" s="1" t="s">
        <v>43</v>
      </c>
      <c r="AE569" s="1" t="s">
        <v>43</v>
      </c>
      <c r="AF569" s="1"/>
      <c r="AG569" s="1" t="s">
        <v>43</v>
      </c>
      <c r="AH569" s="2">
        <v>45819</v>
      </c>
    </row>
    <row r="570" spans="1:34" x14ac:dyDescent="0.3">
      <c r="A570" s="1">
        <v>3308834</v>
      </c>
      <c r="B570" s="1">
        <v>4.33</v>
      </c>
      <c r="C570" s="1">
        <v>48.6</v>
      </c>
      <c r="D570" s="1">
        <v>50.8</v>
      </c>
      <c r="E570" s="1" t="s">
        <v>551</v>
      </c>
      <c r="F570" s="1">
        <v>0</v>
      </c>
      <c r="G570" s="1" t="s">
        <v>1957</v>
      </c>
      <c r="H570" s="1" t="s">
        <v>2032</v>
      </c>
      <c r="I570" s="1" t="str">
        <f>HYPERLINK("https://www.systembolaget.se/produkt/ol/akia-brygghus-3308834/","https://www.systembolaget.se/produkt/ol/akia-brygghus-3308834/")</f>
        <v>https://www.systembolaget.se/produkt/ol/akia-brygghus-3308834/</v>
      </c>
      <c r="J570" s="1"/>
      <c r="K570" s="1">
        <v>4.33</v>
      </c>
      <c r="L570" s="2">
        <v>46188</v>
      </c>
      <c r="M570" s="1" t="s">
        <v>2033</v>
      </c>
      <c r="N570" s="1">
        <v>0.63</v>
      </c>
      <c r="O570" s="1">
        <v>440</v>
      </c>
      <c r="P570" s="1">
        <v>7</v>
      </c>
      <c r="Q570" s="1" t="s">
        <v>107</v>
      </c>
      <c r="R570" s="1" t="s">
        <v>108</v>
      </c>
      <c r="S570" s="1" t="s">
        <v>109</v>
      </c>
      <c r="T570" s="1"/>
      <c r="U570" s="1" t="s">
        <v>110</v>
      </c>
      <c r="V570" s="1" t="s">
        <v>1081</v>
      </c>
      <c r="W570" s="1" t="s">
        <v>1082</v>
      </c>
      <c r="X570" s="1" t="s">
        <v>1957</v>
      </c>
      <c r="Y570" s="1" t="s">
        <v>1084</v>
      </c>
      <c r="Z570" s="1" t="s">
        <v>43</v>
      </c>
      <c r="AA570" s="1"/>
      <c r="AB570" s="1" t="s">
        <v>114</v>
      </c>
      <c r="AC570" s="1" t="s">
        <v>115</v>
      </c>
      <c r="AD570" s="1" t="s">
        <v>43</v>
      </c>
      <c r="AE570" s="1" t="s">
        <v>43</v>
      </c>
      <c r="AF570" s="1"/>
      <c r="AG570" s="1" t="s">
        <v>43</v>
      </c>
      <c r="AH570" s="2">
        <v>46209</v>
      </c>
    </row>
    <row r="571" spans="1:34" x14ac:dyDescent="0.3">
      <c r="A571" s="1">
        <v>7031201</v>
      </c>
      <c r="B571" s="1">
        <v>4.3</v>
      </c>
      <c r="C571" s="1">
        <v>289</v>
      </c>
      <c r="D571" s="1">
        <v>302</v>
      </c>
      <c r="E571" s="1" t="s">
        <v>43</v>
      </c>
      <c r="F571" s="1">
        <v>0</v>
      </c>
      <c r="G571" s="1" t="s">
        <v>1952</v>
      </c>
      <c r="H571" s="1" t="s">
        <v>2034</v>
      </c>
      <c r="I571" s="1" t="str">
        <f>HYPERLINK("https://www.systembolaget.se/produkt/vin/illimis-7031201/","https://www.systembolaget.se/produkt/vin/illimis-7031201/")</f>
        <v>https://www.systembolaget.se/produkt/vin/illimis-7031201/</v>
      </c>
      <c r="J571" s="1">
        <v>3.34</v>
      </c>
      <c r="K571" s="1">
        <v>4.3</v>
      </c>
      <c r="L571" s="2">
        <v>45763</v>
      </c>
      <c r="M571" s="1" t="s">
        <v>2035</v>
      </c>
      <c r="N571" s="1">
        <v>0.35</v>
      </c>
      <c r="O571" s="1">
        <v>750</v>
      </c>
      <c r="P571" s="1">
        <v>13.5</v>
      </c>
      <c r="Q571" s="1" t="s">
        <v>38</v>
      </c>
      <c r="R571" s="1" t="s">
        <v>52</v>
      </c>
      <c r="S571" s="1"/>
      <c r="T571" s="1"/>
      <c r="U571" s="1" t="s">
        <v>289</v>
      </c>
      <c r="V571" s="1" t="s">
        <v>290</v>
      </c>
      <c r="W571" s="1" t="s">
        <v>291</v>
      </c>
      <c r="X571" s="1" t="s">
        <v>1955</v>
      </c>
      <c r="Y571" s="1" t="s">
        <v>1956</v>
      </c>
      <c r="Z571" s="1" t="s">
        <v>43</v>
      </c>
      <c r="AA571" s="1">
        <v>2022</v>
      </c>
      <c r="AB571" s="1" t="s">
        <v>44</v>
      </c>
      <c r="AC571" s="1" t="s">
        <v>45</v>
      </c>
      <c r="AD571" s="1" t="s">
        <v>43</v>
      </c>
      <c r="AE571" s="1" t="s">
        <v>43</v>
      </c>
      <c r="AF571" s="1"/>
      <c r="AG571" s="1" t="s">
        <v>43</v>
      </c>
      <c r="AH571" s="2">
        <v>45770</v>
      </c>
    </row>
    <row r="572" spans="1:34" x14ac:dyDescent="0.3">
      <c r="A572" s="1">
        <v>5510101</v>
      </c>
      <c r="B572" s="1">
        <v>4.29</v>
      </c>
      <c r="C572" s="1">
        <v>669</v>
      </c>
      <c r="D572" s="1">
        <v>699</v>
      </c>
      <c r="E572" s="1" t="s">
        <v>43</v>
      </c>
      <c r="F572" s="1">
        <v>0</v>
      </c>
      <c r="G572" s="1" t="s">
        <v>2036</v>
      </c>
      <c r="H572" s="1" t="s">
        <v>2037</v>
      </c>
      <c r="I572" s="1" t="str">
        <f>HYPERLINK("https://www.systembolaget.se/produkt/sprit/caisteal-island-5510101/","https://www.systembolaget.se/produkt/sprit/caisteal-island-5510101/")</f>
        <v>https://www.systembolaget.se/produkt/sprit/caisteal-island-5510101/</v>
      </c>
      <c r="J572" s="1">
        <v>4.29</v>
      </c>
      <c r="K572" s="1">
        <v>4.29</v>
      </c>
      <c r="L572" s="2">
        <v>45389</v>
      </c>
      <c r="M572" s="1" t="s">
        <v>2038</v>
      </c>
      <c r="N572" s="1">
        <v>0.48</v>
      </c>
      <c r="O572" s="1">
        <v>700</v>
      </c>
      <c r="P572" s="1">
        <v>46</v>
      </c>
      <c r="Q572" s="1" t="s">
        <v>308</v>
      </c>
      <c r="R572" s="1" t="s">
        <v>309</v>
      </c>
      <c r="S572" s="1" t="s">
        <v>318</v>
      </c>
      <c r="T572" s="1"/>
      <c r="U572" s="1" t="s">
        <v>253</v>
      </c>
      <c r="V572" s="1" t="s">
        <v>254</v>
      </c>
      <c r="W572" s="1"/>
      <c r="X572" s="1" t="s">
        <v>1510</v>
      </c>
      <c r="Y572" s="1" t="s">
        <v>980</v>
      </c>
      <c r="Z572" s="1" t="s">
        <v>43</v>
      </c>
      <c r="AA572" s="1"/>
      <c r="AB572" s="1" t="s">
        <v>44</v>
      </c>
      <c r="AC572" s="1" t="s">
        <v>45</v>
      </c>
      <c r="AD572" s="1" t="s">
        <v>43</v>
      </c>
      <c r="AE572" s="1" t="s">
        <v>43</v>
      </c>
      <c r="AF572" s="1"/>
      <c r="AG572" s="1" t="s">
        <v>43</v>
      </c>
      <c r="AH572" s="2">
        <v>45055</v>
      </c>
    </row>
    <row r="573" spans="1:34" x14ac:dyDescent="0.3">
      <c r="A573" s="1">
        <v>7526901</v>
      </c>
      <c r="B573" s="1">
        <v>4.26</v>
      </c>
      <c r="C573" s="1">
        <v>539</v>
      </c>
      <c r="D573" s="1">
        <v>563</v>
      </c>
      <c r="E573" s="1" t="s">
        <v>43</v>
      </c>
      <c r="F573" s="1">
        <v>0</v>
      </c>
      <c r="G573" s="1" t="s">
        <v>2039</v>
      </c>
      <c r="H573" s="1" t="s">
        <v>2040</v>
      </c>
      <c r="I573" s="1" t="str">
        <f>HYPERLINK("https://www.systembolaget.se/produkt/vin/societa-agricola-il-sasso-7526901/","https://www.systembolaget.se/produkt/vin/societa-agricola-il-sasso-7526901/")</f>
        <v>https://www.systembolaget.se/produkt/vin/societa-agricola-il-sasso-7526901/</v>
      </c>
      <c r="J573" s="1">
        <v>3.58</v>
      </c>
      <c r="K573" s="1">
        <v>4.26</v>
      </c>
      <c r="L573" s="2">
        <v>45532</v>
      </c>
      <c r="M573" s="1" t="s">
        <v>2041</v>
      </c>
      <c r="N573" s="1">
        <v>0.22</v>
      </c>
      <c r="O573" s="1">
        <v>750</v>
      </c>
      <c r="P573" s="1">
        <v>15.5</v>
      </c>
      <c r="Q573" s="1" t="s">
        <v>38</v>
      </c>
      <c r="R573" s="1" t="s">
        <v>52</v>
      </c>
      <c r="S573" s="1"/>
      <c r="T573" s="1"/>
      <c r="U573" s="1" t="s">
        <v>53</v>
      </c>
      <c r="V573" s="1" t="s">
        <v>202</v>
      </c>
      <c r="W573" s="1" t="s">
        <v>265</v>
      </c>
      <c r="X573" s="1" t="s">
        <v>2042</v>
      </c>
      <c r="Y573" s="1" t="s">
        <v>1956</v>
      </c>
      <c r="Z573" s="1" t="s">
        <v>46</v>
      </c>
      <c r="AA573" s="1">
        <v>2020</v>
      </c>
      <c r="AB573" s="1" t="s">
        <v>44</v>
      </c>
      <c r="AC573" s="1" t="s">
        <v>45</v>
      </c>
      <c r="AD573" s="1" t="s">
        <v>43</v>
      </c>
      <c r="AE573" s="1" t="s">
        <v>43</v>
      </c>
      <c r="AF573" s="1"/>
      <c r="AG573" s="1" t="s">
        <v>43</v>
      </c>
      <c r="AH573" s="2">
        <v>45539</v>
      </c>
    </row>
    <row r="574" spans="1:34" x14ac:dyDescent="0.3">
      <c r="A574" s="1">
        <v>7506001</v>
      </c>
      <c r="B574" s="1">
        <v>4.18</v>
      </c>
      <c r="C574" s="1">
        <v>459</v>
      </c>
      <c r="D574" s="1">
        <v>479</v>
      </c>
      <c r="E574" s="1" t="s">
        <v>43</v>
      </c>
      <c r="F574" s="1">
        <v>0</v>
      </c>
      <c r="G574" s="1" t="s">
        <v>2043</v>
      </c>
      <c r="H574" s="1" t="s">
        <v>2044</v>
      </c>
      <c r="I574" s="1" t="str">
        <f>HYPERLINK("https://www.systembolaget.se/produkt/vin/boca-7506001/","https://www.systembolaget.se/produkt/vin/boca-7506001/")</f>
        <v>https://www.systembolaget.se/produkt/vin/boca-7506001/</v>
      </c>
      <c r="J574" s="1">
        <v>6.13</v>
      </c>
      <c r="K574" s="1">
        <v>4.18</v>
      </c>
      <c r="L574" s="2">
        <v>45447</v>
      </c>
      <c r="M574" s="1" t="s">
        <v>2045</v>
      </c>
      <c r="N574" s="1">
        <v>0.21</v>
      </c>
      <c r="O574" s="1">
        <v>750</v>
      </c>
      <c r="P574" s="1">
        <v>13</v>
      </c>
      <c r="Q574" s="1" t="s">
        <v>38</v>
      </c>
      <c r="R574" s="1" t="s">
        <v>52</v>
      </c>
      <c r="S574" s="1"/>
      <c r="T574" s="1"/>
      <c r="U574" s="1" t="s">
        <v>53</v>
      </c>
      <c r="V574" s="1" t="s">
        <v>95</v>
      </c>
      <c r="W574" s="1" t="s">
        <v>2043</v>
      </c>
      <c r="X574" s="1" t="s">
        <v>2044</v>
      </c>
      <c r="Y574" s="1" t="s">
        <v>64</v>
      </c>
      <c r="Z574" s="1" t="s">
        <v>43</v>
      </c>
      <c r="AA574" s="1">
        <v>2019</v>
      </c>
      <c r="AB574" s="1" t="s">
        <v>44</v>
      </c>
      <c r="AC574" s="1" t="s">
        <v>45</v>
      </c>
      <c r="AD574" s="1" t="s">
        <v>43</v>
      </c>
      <c r="AE574" s="1" t="s">
        <v>43</v>
      </c>
      <c r="AF574" s="1"/>
      <c r="AG574" s="1" t="s">
        <v>43</v>
      </c>
      <c r="AH574" s="2">
        <v>45454</v>
      </c>
    </row>
    <row r="575" spans="1:34" x14ac:dyDescent="0.3">
      <c r="A575" s="1">
        <v>7011101</v>
      </c>
      <c r="B575" s="1">
        <v>4.17</v>
      </c>
      <c r="C575" s="1">
        <v>299</v>
      </c>
      <c r="D575" s="1">
        <v>312</v>
      </c>
      <c r="E575" s="1" t="s">
        <v>43</v>
      </c>
      <c r="F575" s="1">
        <v>0</v>
      </c>
      <c r="G575" s="1" t="s">
        <v>1952</v>
      </c>
      <c r="H575" s="1" t="s">
        <v>1329</v>
      </c>
      <c r="I575" s="1" t="str">
        <f>HYPERLINK("https://www.systembolaget.se/produkt/vin/illimis-7011101/","https://www.systembolaget.se/produkt/vin/illimis-7011101/")</f>
        <v>https://www.systembolaget.se/produkt/vin/illimis-7011101/</v>
      </c>
      <c r="J575" s="1">
        <v>1.97</v>
      </c>
      <c r="K575" s="1">
        <v>4.17</v>
      </c>
      <c r="L575" s="2">
        <v>45560</v>
      </c>
      <c r="M575" s="1" t="s">
        <v>2046</v>
      </c>
      <c r="N575" s="1">
        <v>0.34</v>
      </c>
      <c r="O575" s="1">
        <v>750</v>
      </c>
      <c r="P575" s="1">
        <v>13.5</v>
      </c>
      <c r="Q575" s="1" t="s">
        <v>38</v>
      </c>
      <c r="R575" s="1" t="s">
        <v>39</v>
      </c>
      <c r="S575" s="1"/>
      <c r="T575" s="1"/>
      <c r="U575" s="1" t="s">
        <v>289</v>
      </c>
      <c r="V575" s="1" t="s">
        <v>290</v>
      </c>
      <c r="W575" s="1" t="s">
        <v>2047</v>
      </c>
      <c r="X575" s="1" t="s">
        <v>1955</v>
      </c>
      <c r="Y575" s="1" t="s">
        <v>1956</v>
      </c>
      <c r="Z575" s="1" t="s">
        <v>43</v>
      </c>
      <c r="AA575" s="1">
        <v>2022</v>
      </c>
      <c r="AB575" s="1" t="s">
        <v>44</v>
      </c>
      <c r="AC575" s="1" t="s">
        <v>45</v>
      </c>
      <c r="AD575" s="1" t="s">
        <v>43</v>
      </c>
      <c r="AE575" s="1" t="s">
        <v>43</v>
      </c>
      <c r="AF575" s="1"/>
      <c r="AG575" s="1" t="s">
        <v>43</v>
      </c>
      <c r="AH575" s="2">
        <v>45567</v>
      </c>
    </row>
    <row r="576" spans="1:34" x14ac:dyDescent="0.3">
      <c r="A576" s="1">
        <v>2010702</v>
      </c>
      <c r="B576" s="1">
        <v>4.17</v>
      </c>
      <c r="C576" s="1">
        <v>115</v>
      </c>
      <c r="D576" s="1">
        <v>120</v>
      </c>
      <c r="E576" s="1" t="s">
        <v>43</v>
      </c>
      <c r="F576" s="1">
        <v>0</v>
      </c>
      <c r="G576" s="1" t="s">
        <v>2048</v>
      </c>
      <c r="H576" s="1" t="s">
        <v>2049</v>
      </c>
      <c r="I576" s="1" t="str">
        <f>HYPERLINK("https://www.systembolaget.se/produkt/vin/chateau-tirecul-2010702/","https://www.systembolaget.se/produkt/vin/chateau-tirecul-2010702/")</f>
        <v>https://www.systembolaget.se/produkt/vin/chateau-tirecul-2010702/</v>
      </c>
      <c r="J576" s="1">
        <v>3.36</v>
      </c>
      <c r="K576" s="1">
        <v>4.17</v>
      </c>
      <c r="L576" s="2">
        <v>45607</v>
      </c>
      <c r="M576" s="1" t="s">
        <v>2050</v>
      </c>
      <c r="N576" s="1">
        <v>0.41</v>
      </c>
      <c r="O576" s="1">
        <v>375</v>
      </c>
      <c r="P576" s="1">
        <v>12.5</v>
      </c>
      <c r="Q576" s="1" t="s">
        <v>38</v>
      </c>
      <c r="R576" s="1" t="s">
        <v>39</v>
      </c>
      <c r="S576" s="1" t="s">
        <v>94</v>
      </c>
      <c r="T576" s="1"/>
      <c r="U576" s="1" t="s">
        <v>101</v>
      </c>
      <c r="V576" s="1" t="s">
        <v>568</v>
      </c>
      <c r="W576" s="1" t="s">
        <v>2051</v>
      </c>
      <c r="X576" s="1" t="s">
        <v>2052</v>
      </c>
      <c r="Y576" s="1" t="s">
        <v>1398</v>
      </c>
      <c r="Z576" s="1" t="s">
        <v>46</v>
      </c>
      <c r="AA576" s="1">
        <v>2024</v>
      </c>
      <c r="AB576" s="1" t="s">
        <v>44</v>
      </c>
      <c r="AC576" s="1" t="s">
        <v>90</v>
      </c>
      <c r="AD576" s="1" t="s">
        <v>43</v>
      </c>
      <c r="AE576" s="1" t="s">
        <v>43</v>
      </c>
      <c r="AF576" s="1">
        <v>92</v>
      </c>
      <c r="AG576" s="1" t="s">
        <v>43</v>
      </c>
      <c r="AH576" s="2">
        <v>45628</v>
      </c>
    </row>
    <row r="577" spans="1:34" x14ac:dyDescent="0.3">
      <c r="A577" s="1">
        <v>7980601</v>
      </c>
      <c r="B577" s="1">
        <v>4.17</v>
      </c>
      <c r="C577" s="1">
        <v>11499</v>
      </c>
      <c r="D577" s="1">
        <v>11999</v>
      </c>
      <c r="E577" s="1" t="s">
        <v>43</v>
      </c>
      <c r="F577" s="1">
        <v>0</v>
      </c>
      <c r="G577" s="1" t="s">
        <v>2053</v>
      </c>
      <c r="H577" s="1" t="s">
        <v>1062</v>
      </c>
      <c r="I577" s="1" t="str">
        <f>HYPERLINK("https://www.systembolaget.se/produkt/vin/clos-des-lambrays-grand-cru-7980601/","https://www.systembolaget.se/produkt/vin/clos-des-lambrays-grand-cru-7980601/")</f>
        <v>https://www.systembolaget.se/produkt/vin/clos-des-lambrays-grand-cru-7980601/</v>
      </c>
      <c r="J577" s="1">
        <v>4.17</v>
      </c>
      <c r="K577" s="1">
        <v>4.17</v>
      </c>
      <c r="L577" s="2">
        <v>45860</v>
      </c>
      <c r="M577" s="1" t="s">
        <v>2054</v>
      </c>
      <c r="N577" s="1">
        <v>0.01</v>
      </c>
      <c r="O577" s="1">
        <v>750</v>
      </c>
      <c r="P577" s="1">
        <v>13</v>
      </c>
      <c r="Q577" s="1" t="s">
        <v>38</v>
      </c>
      <c r="R577" s="1" t="s">
        <v>52</v>
      </c>
      <c r="S577" s="1"/>
      <c r="T577" s="1"/>
      <c r="U577" s="1" t="s">
        <v>101</v>
      </c>
      <c r="V577" s="1" t="s">
        <v>142</v>
      </c>
      <c r="W577" s="1" t="s">
        <v>725</v>
      </c>
      <c r="X577" s="1" t="s">
        <v>1064</v>
      </c>
      <c r="Y577" s="1" t="s">
        <v>678</v>
      </c>
      <c r="Z577" s="1" t="s">
        <v>43</v>
      </c>
      <c r="AA577" s="1">
        <v>2022</v>
      </c>
      <c r="AB577" s="1" t="s">
        <v>44</v>
      </c>
      <c r="AC577" s="1" t="s">
        <v>45</v>
      </c>
      <c r="AD577" s="1" t="s">
        <v>43</v>
      </c>
      <c r="AE577" s="1" t="s">
        <v>43</v>
      </c>
      <c r="AF577" s="1"/>
      <c r="AG577" s="1" t="s">
        <v>43</v>
      </c>
      <c r="AH577" s="2">
        <v>45854</v>
      </c>
    </row>
    <row r="578" spans="1:34" x14ac:dyDescent="0.3">
      <c r="A578" s="1">
        <v>3205702</v>
      </c>
      <c r="B578" s="1">
        <v>4.1500000000000004</v>
      </c>
      <c r="C578" s="1">
        <v>300</v>
      </c>
      <c r="D578" s="1">
        <v>313</v>
      </c>
      <c r="E578" s="1" t="s">
        <v>43</v>
      </c>
      <c r="F578" s="1">
        <v>0</v>
      </c>
      <c r="G578" s="1" t="s">
        <v>2055</v>
      </c>
      <c r="H578" s="1" t="s">
        <v>488</v>
      </c>
      <c r="I578" s="1" t="str">
        <f>HYPERLINK("https://www.systembolaget.se/produkt/sprit/torsbo-3205702/","https://www.systembolaget.se/produkt/sprit/torsbo-3205702/")</f>
        <v>https://www.systembolaget.se/produkt/sprit/torsbo-3205702/</v>
      </c>
      <c r="J578" s="1">
        <v>1.64</v>
      </c>
      <c r="K578" s="1">
        <v>4.1500000000000004</v>
      </c>
      <c r="L578" s="2">
        <v>45389</v>
      </c>
      <c r="M578" s="1" t="s">
        <v>2056</v>
      </c>
      <c r="N578" s="1">
        <v>0.65</v>
      </c>
      <c r="O578" s="1">
        <v>500</v>
      </c>
      <c r="P578" s="1">
        <v>39.200000000000003</v>
      </c>
      <c r="Q578" s="1" t="s">
        <v>308</v>
      </c>
      <c r="R578" s="1" t="s">
        <v>487</v>
      </c>
      <c r="S578" s="1" t="s">
        <v>488</v>
      </c>
      <c r="T578" s="1"/>
      <c r="U578" s="1" t="s">
        <v>110</v>
      </c>
      <c r="V578" s="1" t="s">
        <v>136</v>
      </c>
      <c r="W578" s="1" t="s">
        <v>2057</v>
      </c>
      <c r="X578" s="1" t="s">
        <v>2058</v>
      </c>
      <c r="Y578" s="1" t="s">
        <v>2059</v>
      </c>
      <c r="Z578" s="1" t="s">
        <v>43</v>
      </c>
      <c r="AA578" s="1"/>
      <c r="AB578" s="1" t="s">
        <v>44</v>
      </c>
      <c r="AC578" s="1" t="s">
        <v>115</v>
      </c>
      <c r="AD578" s="1" t="s">
        <v>46</v>
      </c>
      <c r="AE578" s="1" t="s">
        <v>43</v>
      </c>
      <c r="AF578" s="1">
        <v>2</v>
      </c>
      <c r="AG578" s="1" t="s">
        <v>43</v>
      </c>
      <c r="AH578" s="2">
        <v>45299</v>
      </c>
    </row>
    <row r="579" spans="1:34" x14ac:dyDescent="0.3">
      <c r="A579" s="1">
        <v>1077802</v>
      </c>
      <c r="B579" s="1">
        <v>4.1399999999999997</v>
      </c>
      <c r="C579" s="1">
        <v>139</v>
      </c>
      <c r="D579" s="1">
        <v>145</v>
      </c>
      <c r="E579" s="1" t="s">
        <v>551</v>
      </c>
      <c r="F579" s="1">
        <v>0</v>
      </c>
      <c r="G579" s="1" t="s">
        <v>2060</v>
      </c>
      <c r="H579" s="1" t="s">
        <v>2061</v>
      </c>
      <c r="I579" s="1" t="str">
        <f>HYPERLINK("https://www.systembolaget.se/produkt/sprit/passoa-1077802/","https://www.systembolaget.se/produkt/sprit/passoa-1077802/")</f>
        <v>https://www.systembolaget.se/produkt/sprit/passoa-1077802/</v>
      </c>
      <c r="J579" s="1">
        <v>4.1399999999999997</v>
      </c>
      <c r="K579" s="1">
        <v>4.1399999999999997</v>
      </c>
      <c r="L579" s="2">
        <v>45389</v>
      </c>
      <c r="M579" s="1" t="s">
        <v>2062</v>
      </c>
      <c r="N579" s="1">
        <v>0.43</v>
      </c>
      <c r="O579" s="1">
        <v>350</v>
      </c>
      <c r="P579" s="1">
        <v>17</v>
      </c>
      <c r="Q579" s="1" t="s">
        <v>308</v>
      </c>
      <c r="R579" s="1" t="s">
        <v>378</v>
      </c>
      <c r="S579" s="1" t="s">
        <v>379</v>
      </c>
      <c r="T579" s="1"/>
      <c r="U579" s="1" t="s">
        <v>101</v>
      </c>
      <c r="V579" s="1"/>
      <c r="W579" s="1"/>
      <c r="X579" s="1" t="s">
        <v>2063</v>
      </c>
      <c r="Y579" s="1" t="s">
        <v>619</v>
      </c>
      <c r="Z579" s="1" t="s">
        <v>43</v>
      </c>
      <c r="AA579" s="1"/>
      <c r="AB579" s="1" t="s">
        <v>44</v>
      </c>
      <c r="AC579" s="1" t="s">
        <v>90</v>
      </c>
      <c r="AD579" s="1" t="s">
        <v>43</v>
      </c>
      <c r="AE579" s="1" t="s">
        <v>43</v>
      </c>
      <c r="AF579" s="1">
        <v>156</v>
      </c>
      <c r="AG579" s="1" t="s">
        <v>43</v>
      </c>
      <c r="AH579" s="2">
        <v>38626</v>
      </c>
    </row>
    <row r="580" spans="1:34" x14ac:dyDescent="0.3">
      <c r="A580" s="1">
        <v>7668601</v>
      </c>
      <c r="B580" s="1">
        <v>4.1399999999999997</v>
      </c>
      <c r="C580" s="1">
        <v>139</v>
      </c>
      <c r="D580" s="1">
        <v>145</v>
      </c>
      <c r="E580" s="1" t="s">
        <v>43</v>
      </c>
      <c r="F580" s="1">
        <v>0</v>
      </c>
      <c r="G580" s="1" t="s">
        <v>2064</v>
      </c>
      <c r="H580" s="1" t="s">
        <v>2065</v>
      </c>
      <c r="I580" s="1" t="str">
        <f>HYPERLINK("https://www.systembolaget.se/produkt/vin/casa-marzoni-7668601/","https://www.systembolaget.se/produkt/vin/casa-marzoni-7668601/")</f>
        <v>https://www.systembolaget.se/produkt/vin/casa-marzoni-7668601/</v>
      </c>
      <c r="J580" s="1">
        <v>4.1399999999999997</v>
      </c>
      <c r="K580" s="1">
        <v>4.1399999999999997</v>
      </c>
      <c r="L580" s="2">
        <v>45640</v>
      </c>
      <c r="M580" s="1" t="s">
        <v>2062</v>
      </c>
      <c r="N580" s="1">
        <v>0.78</v>
      </c>
      <c r="O580" s="1">
        <v>750</v>
      </c>
      <c r="P580" s="1">
        <v>14.5</v>
      </c>
      <c r="Q580" s="1" t="s">
        <v>38</v>
      </c>
      <c r="R580" s="1" t="s">
        <v>52</v>
      </c>
      <c r="S580" s="1" t="s">
        <v>386</v>
      </c>
      <c r="T580" s="1"/>
      <c r="U580" s="1" t="s">
        <v>53</v>
      </c>
      <c r="V580" s="1" t="s">
        <v>577</v>
      </c>
      <c r="W580" s="1"/>
      <c r="X580" s="1" t="s">
        <v>2064</v>
      </c>
      <c r="Y580" s="1" t="s">
        <v>334</v>
      </c>
      <c r="Z580" s="1" t="s">
        <v>46</v>
      </c>
      <c r="AA580" s="1">
        <v>2025</v>
      </c>
      <c r="AB580" s="1" t="s">
        <v>44</v>
      </c>
      <c r="AC580" s="1" t="s">
        <v>90</v>
      </c>
      <c r="AD580" s="1" t="s">
        <v>43</v>
      </c>
      <c r="AE580" s="1" t="s">
        <v>43</v>
      </c>
      <c r="AF580" s="1">
        <v>9</v>
      </c>
      <c r="AG580" s="1" t="s">
        <v>43</v>
      </c>
      <c r="AH580" s="2">
        <v>42815</v>
      </c>
    </row>
    <row r="581" spans="1:34" x14ac:dyDescent="0.3">
      <c r="A581" s="1">
        <v>7055301</v>
      </c>
      <c r="B581" s="1">
        <v>4.12</v>
      </c>
      <c r="C581" s="1">
        <v>279</v>
      </c>
      <c r="D581" s="1">
        <v>291</v>
      </c>
      <c r="E581" s="1" t="s">
        <v>43</v>
      </c>
      <c r="F581" s="1">
        <v>0</v>
      </c>
      <c r="G581" s="1" t="s">
        <v>1980</v>
      </c>
      <c r="H581" s="1" t="s">
        <v>2066</v>
      </c>
      <c r="I581" s="1" t="str">
        <f>HYPERLINK("https://www.systembolaget.se/produkt/vin/botanica-7055301/","https://www.systembolaget.se/produkt/vin/botanica-7055301/")</f>
        <v>https://www.systembolaget.se/produkt/vin/botanica-7055301/</v>
      </c>
      <c r="J581" s="1">
        <v>3.46</v>
      </c>
      <c r="K581" s="1">
        <v>4.12</v>
      </c>
      <c r="L581" s="2">
        <v>45586</v>
      </c>
      <c r="M581" s="1" t="s">
        <v>2067</v>
      </c>
      <c r="N581" s="1">
        <v>0.39</v>
      </c>
      <c r="O581" s="1">
        <v>750</v>
      </c>
      <c r="P581" s="1">
        <v>14.5</v>
      </c>
      <c r="Q581" s="1" t="s">
        <v>38</v>
      </c>
      <c r="R581" s="1" t="s">
        <v>52</v>
      </c>
      <c r="S581" s="1"/>
      <c r="T581" s="1"/>
      <c r="U581" s="1" t="s">
        <v>289</v>
      </c>
      <c r="V581" s="1" t="s">
        <v>290</v>
      </c>
      <c r="W581" s="1" t="s">
        <v>291</v>
      </c>
      <c r="X581" s="1" t="s">
        <v>1984</v>
      </c>
      <c r="Y581" s="1" t="s">
        <v>1956</v>
      </c>
      <c r="Z581" s="1" t="s">
        <v>43</v>
      </c>
      <c r="AA581" s="1">
        <v>2017</v>
      </c>
      <c r="AB581" s="1" t="s">
        <v>44</v>
      </c>
      <c r="AC581" s="1" t="s">
        <v>45</v>
      </c>
      <c r="AD581" s="1" t="s">
        <v>43</v>
      </c>
      <c r="AE581" s="1" t="s">
        <v>43</v>
      </c>
      <c r="AF581" s="1"/>
      <c r="AG581" s="1" t="s">
        <v>43</v>
      </c>
      <c r="AH581" s="2">
        <v>45593</v>
      </c>
    </row>
    <row r="582" spans="1:34" x14ac:dyDescent="0.3">
      <c r="A582" s="1">
        <v>244301</v>
      </c>
      <c r="B582" s="1">
        <v>4.12</v>
      </c>
      <c r="C582" s="1">
        <v>699</v>
      </c>
      <c r="D582" s="1">
        <v>729</v>
      </c>
      <c r="E582" s="1" t="s">
        <v>43</v>
      </c>
      <c r="F582" s="1">
        <v>0</v>
      </c>
      <c r="G582" s="1" t="s">
        <v>2068</v>
      </c>
      <c r="H582" s="1" t="s">
        <v>576</v>
      </c>
      <c r="I582" s="1" t="str">
        <f>HYPERLINK("https://www.systembolaget.se/produkt/vin/borgogno-barolo-244301/","https://www.systembolaget.se/produkt/vin/borgogno-barolo-244301/")</f>
        <v>https://www.systembolaget.se/produkt/vin/borgogno-barolo-244301/</v>
      </c>
      <c r="J582" s="1">
        <v>0</v>
      </c>
      <c r="K582" s="1">
        <v>4.12</v>
      </c>
      <c r="L582" s="2">
        <v>45477</v>
      </c>
      <c r="M582" s="1" t="s">
        <v>2069</v>
      </c>
      <c r="N582" s="1">
        <v>0.16</v>
      </c>
      <c r="O582" s="1">
        <v>750</v>
      </c>
      <c r="P582" s="1">
        <v>14.5</v>
      </c>
      <c r="Q582" s="1" t="s">
        <v>38</v>
      </c>
      <c r="R582" s="1" t="s">
        <v>52</v>
      </c>
      <c r="S582" s="1" t="s">
        <v>687</v>
      </c>
      <c r="T582" s="1"/>
      <c r="U582" s="1" t="s">
        <v>53</v>
      </c>
      <c r="V582" s="1" t="s">
        <v>95</v>
      </c>
      <c r="W582" s="1" t="s">
        <v>969</v>
      </c>
      <c r="X582" s="1" t="s">
        <v>2070</v>
      </c>
      <c r="Y582" s="1" t="s">
        <v>103</v>
      </c>
      <c r="Z582" s="1" t="s">
        <v>43</v>
      </c>
      <c r="AA582" s="1">
        <v>2018</v>
      </c>
      <c r="AB582" s="1" t="s">
        <v>44</v>
      </c>
      <c r="AC582" s="1" t="s">
        <v>90</v>
      </c>
      <c r="AD582" s="1" t="s">
        <v>43</v>
      </c>
      <c r="AE582" s="1" t="s">
        <v>43</v>
      </c>
      <c r="AF582" s="1">
        <v>2</v>
      </c>
      <c r="AG582" s="1" t="s">
        <v>43</v>
      </c>
      <c r="AH582" s="2">
        <v>42979</v>
      </c>
    </row>
    <row r="583" spans="1:34" x14ac:dyDescent="0.3">
      <c r="A583" s="1">
        <v>7745601</v>
      </c>
      <c r="B583" s="1">
        <v>4.1100000000000003</v>
      </c>
      <c r="C583" s="1">
        <v>6999</v>
      </c>
      <c r="D583" s="1">
        <v>7299</v>
      </c>
      <c r="E583" s="1" t="s">
        <v>43</v>
      </c>
      <c r="F583" s="1">
        <v>0</v>
      </c>
      <c r="G583" s="1" t="s">
        <v>1848</v>
      </c>
      <c r="H583" s="1" t="s">
        <v>1849</v>
      </c>
      <c r="I583" s="1" t="str">
        <f>HYPERLINK("https://www.systembolaget.se/produkt/vin/corton-grand-cru-7745601/","https://www.systembolaget.se/produkt/vin/corton-grand-cru-7745601/")</f>
        <v>https://www.systembolaget.se/produkt/vin/corton-grand-cru-7745601/</v>
      </c>
      <c r="J583" s="1">
        <v>4.1100000000000003</v>
      </c>
      <c r="K583" s="1">
        <v>4.1100000000000003</v>
      </c>
      <c r="L583" s="2">
        <v>45964</v>
      </c>
      <c r="M583" s="1" t="s">
        <v>2071</v>
      </c>
      <c r="N583" s="1">
        <v>0.01</v>
      </c>
      <c r="O583" s="1">
        <v>750</v>
      </c>
      <c r="P583" s="1">
        <v>13.5</v>
      </c>
      <c r="Q583" s="1" t="s">
        <v>38</v>
      </c>
      <c r="R583" s="1" t="s">
        <v>39</v>
      </c>
      <c r="S583" s="1"/>
      <c r="T583" s="1"/>
      <c r="U583" s="1" t="s">
        <v>101</v>
      </c>
      <c r="V583" s="1" t="s">
        <v>142</v>
      </c>
      <c r="W583" s="1" t="s">
        <v>143</v>
      </c>
      <c r="X583" s="1" t="s">
        <v>1849</v>
      </c>
      <c r="Y583" s="1" t="s">
        <v>678</v>
      </c>
      <c r="Z583" s="1" t="s">
        <v>43</v>
      </c>
      <c r="AA583" s="1">
        <v>2022</v>
      </c>
      <c r="AB583" s="1" t="s">
        <v>44</v>
      </c>
      <c r="AC583" s="1" t="s">
        <v>45</v>
      </c>
      <c r="AD583" s="1" t="s">
        <v>43</v>
      </c>
      <c r="AE583" s="1" t="s">
        <v>43</v>
      </c>
      <c r="AF583" s="1"/>
      <c r="AG583" s="1" t="s">
        <v>43</v>
      </c>
      <c r="AH583" s="2">
        <v>45971</v>
      </c>
    </row>
    <row r="584" spans="1:34" x14ac:dyDescent="0.3">
      <c r="A584" s="1">
        <v>7779901</v>
      </c>
      <c r="B584" s="1">
        <v>4.1100000000000003</v>
      </c>
      <c r="C584" s="1">
        <v>6999</v>
      </c>
      <c r="D584" s="1">
        <v>7299</v>
      </c>
      <c r="E584" s="1" t="s">
        <v>43</v>
      </c>
      <c r="F584" s="1">
        <v>0</v>
      </c>
      <c r="G584" s="1" t="s">
        <v>1849</v>
      </c>
      <c r="H584" s="1" t="s">
        <v>2072</v>
      </c>
      <c r="I584" s="1" t="str">
        <f>HYPERLINK("https://www.systembolaget.se/produkt/vin/domaine-bonneau-du-martray-7779901/","https://www.systembolaget.se/produkt/vin/domaine-bonneau-du-martray-7779901/")</f>
        <v>https://www.systembolaget.se/produkt/vin/domaine-bonneau-du-martray-7779901/</v>
      </c>
      <c r="J584" s="1"/>
      <c r="K584" s="1">
        <v>4.1100000000000003</v>
      </c>
      <c r="L584" s="2">
        <v>45999</v>
      </c>
      <c r="M584" s="1" t="s">
        <v>2071</v>
      </c>
      <c r="N584" s="1">
        <v>0.01</v>
      </c>
      <c r="O584" s="1">
        <v>750</v>
      </c>
      <c r="P584" s="1">
        <v>13.5</v>
      </c>
      <c r="Q584" s="1" t="s">
        <v>38</v>
      </c>
      <c r="R584" s="1" t="s">
        <v>39</v>
      </c>
      <c r="S584" s="1"/>
      <c r="T584" s="1"/>
      <c r="U584" s="1" t="s">
        <v>101</v>
      </c>
      <c r="V584" s="1" t="s">
        <v>142</v>
      </c>
      <c r="W584" s="1"/>
      <c r="X584" s="1" t="s">
        <v>1849</v>
      </c>
      <c r="Y584" s="1" t="s">
        <v>678</v>
      </c>
      <c r="Z584" s="1" t="s">
        <v>43</v>
      </c>
      <c r="AA584" s="1">
        <v>2022</v>
      </c>
      <c r="AB584" s="1" t="s">
        <v>44</v>
      </c>
      <c r="AC584" s="1" t="s">
        <v>45</v>
      </c>
      <c r="AD584" s="1" t="s">
        <v>43</v>
      </c>
      <c r="AE584" s="1" t="s">
        <v>43</v>
      </c>
      <c r="AF584" s="1"/>
      <c r="AG584" s="1" t="s">
        <v>43</v>
      </c>
      <c r="AH584" s="2">
        <v>46006</v>
      </c>
    </row>
    <row r="585" spans="1:34" x14ac:dyDescent="0.3">
      <c r="A585" s="1">
        <v>16802</v>
      </c>
      <c r="B585" s="1">
        <v>4.03</v>
      </c>
      <c r="C585" s="1">
        <v>119</v>
      </c>
      <c r="D585" s="1">
        <v>124</v>
      </c>
      <c r="E585" s="1" t="s">
        <v>43</v>
      </c>
      <c r="F585" s="1">
        <v>0</v>
      </c>
      <c r="G585" s="1" t="s">
        <v>2073</v>
      </c>
      <c r="H585" s="1"/>
      <c r="I585" s="1" t="str">
        <f>HYPERLINK("https://www.systembolaget.se/produkt/vin/akita-fuji-nigori-16802/","https://www.systembolaget.se/produkt/vin/akita-fuji-nigori-16802/")</f>
        <v>https://www.systembolaget.se/produkt/vin/akita-fuji-nigori-16802/</v>
      </c>
      <c r="J585" s="1">
        <v>7.75</v>
      </c>
      <c r="K585" s="1">
        <v>4.03</v>
      </c>
      <c r="L585" s="2">
        <v>45400</v>
      </c>
      <c r="M585" s="1" t="s">
        <v>2074</v>
      </c>
      <c r="N585" s="1">
        <v>0.37</v>
      </c>
      <c r="O585" s="1">
        <v>300</v>
      </c>
      <c r="P585" s="1">
        <v>14.5</v>
      </c>
      <c r="Q585" s="1" t="s">
        <v>38</v>
      </c>
      <c r="R585" s="1" t="s">
        <v>1862</v>
      </c>
      <c r="S585" s="1"/>
      <c r="T585" s="1"/>
      <c r="U585" s="1" t="s">
        <v>855</v>
      </c>
      <c r="V585" s="1"/>
      <c r="W585" s="1"/>
      <c r="X585" s="1" t="s">
        <v>2075</v>
      </c>
      <c r="Y585" s="1" t="s">
        <v>1864</v>
      </c>
      <c r="Z585" s="1" t="s">
        <v>43</v>
      </c>
      <c r="AA585" s="1"/>
      <c r="AB585" s="1" t="s">
        <v>77</v>
      </c>
      <c r="AC585" s="1" t="s">
        <v>90</v>
      </c>
      <c r="AD585" s="1" t="s">
        <v>43</v>
      </c>
      <c r="AE585" s="1" t="s">
        <v>43</v>
      </c>
      <c r="AF585" s="1">
        <v>41</v>
      </c>
      <c r="AG585" s="1" t="s">
        <v>43</v>
      </c>
      <c r="AH585" s="2">
        <v>42065</v>
      </c>
    </row>
    <row r="586" spans="1:34" x14ac:dyDescent="0.3">
      <c r="A586" s="1">
        <v>7298601</v>
      </c>
      <c r="B586" s="1">
        <v>4.0199999999999996</v>
      </c>
      <c r="C586" s="1">
        <v>239</v>
      </c>
      <c r="D586" s="1">
        <v>249</v>
      </c>
      <c r="E586" s="1" t="s">
        <v>43</v>
      </c>
      <c r="F586" s="1">
        <v>0</v>
      </c>
      <c r="G586" s="1" t="s">
        <v>2076</v>
      </c>
      <c r="H586" s="1" t="s">
        <v>2077</v>
      </c>
      <c r="I586" s="1" t="str">
        <f>HYPERLINK("https://www.systembolaget.se/produkt/vin/nederburg-7298601/","https://www.systembolaget.se/produkt/vin/nederburg-7298601/")</f>
        <v>https://www.systembolaget.se/produkt/vin/nederburg-7298601/</v>
      </c>
      <c r="J586" s="1">
        <v>4.0199999999999996</v>
      </c>
      <c r="K586" s="1">
        <v>4.0199999999999996</v>
      </c>
      <c r="L586" s="2">
        <v>45525</v>
      </c>
      <c r="M586" s="1" t="s">
        <v>2078</v>
      </c>
      <c r="N586" s="1">
        <v>0.44</v>
      </c>
      <c r="O586" s="1">
        <v>750</v>
      </c>
      <c r="P586" s="1">
        <v>14</v>
      </c>
      <c r="Q586" s="1" t="s">
        <v>38</v>
      </c>
      <c r="R586" s="1" t="s">
        <v>52</v>
      </c>
      <c r="S586" s="1"/>
      <c r="T586" s="1"/>
      <c r="U586" s="1" t="s">
        <v>289</v>
      </c>
      <c r="V586" s="1" t="s">
        <v>290</v>
      </c>
      <c r="W586" s="1"/>
      <c r="X586" s="1" t="s">
        <v>2079</v>
      </c>
      <c r="Y586" s="1" t="s">
        <v>423</v>
      </c>
      <c r="Z586" s="1" t="s">
        <v>43</v>
      </c>
      <c r="AA586" s="1">
        <v>2020</v>
      </c>
      <c r="AB586" s="1" t="s">
        <v>44</v>
      </c>
      <c r="AC586" s="1" t="s">
        <v>45</v>
      </c>
      <c r="AD586" s="1" t="s">
        <v>43</v>
      </c>
      <c r="AE586" s="1" t="s">
        <v>43</v>
      </c>
      <c r="AF586" s="1"/>
      <c r="AG586" s="1" t="s">
        <v>43</v>
      </c>
      <c r="AH586" s="2">
        <v>42614</v>
      </c>
    </row>
    <row r="587" spans="1:34" x14ac:dyDescent="0.3">
      <c r="A587" s="1">
        <v>5797901</v>
      </c>
      <c r="B587" s="1">
        <v>4.0199999999999996</v>
      </c>
      <c r="C587" s="1">
        <v>239</v>
      </c>
      <c r="D587" s="1">
        <v>249</v>
      </c>
      <c r="E587" s="1" t="s">
        <v>43</v>
      </c>
      <c r="F587" s="1">
        <v>0</v>
      </c>
      <c r="G587" s="1" t="s">
        <v>2080</v>
      </c>
      <c r="H587" s="1" t="s">
        <v>597</v>
      </c>
      <c r="I587" s="1" t="str">
        <f>HYPERLINK("https://www.systembolaget.se/produkt/vin/greenwing-5797901/","https://www.systembolaget.se/produkt/vin/greenwing-5797901/")</f>
        <v>https://www.systembolaget.se/produkt/vin/greenwing-5797901/</v>
      </c>
      <c r="J587" s="1">
        <v>4.0199999999999996</v>
      </c>
      <c r="K587" s="1">
        <v>4.0199999999999996</v>
      </c>
      <c r="L587" s="2">
        <v>45462</v>
      </c>
      <c r="M587" s="1" t="s">
        <v>2081</v>
      </c>
      <c r="N587" s="1">
        <v>0.44</v>
      </c>
      <c r="O587" s="1">
        <v>750</v>
      </c>
      <c r="P587" s="1">
        <v>14</v>
      </c>
      <c r="Q587" s="1" t="s">
        <v>38</v>
      </c>
      <c r="R587" s="1" t="s">
        <v>52</v>
      </c>
      <c r="S587" s="1"/>
      <c r="T587" s="1"/>
      <c r="U587" s="1" t="s">
        <v>73</v>
      </c>
      <c r="V587" s="1" t="s">
        <v>237</v>
      </c>
      <c r="W587" s="1" t="s">
        <v>238</v>
      </c>
      <c r="X587" s="1" t="s">
        <v>2082</v>
      </c>
      <c r="Y587" s="1" t="s">
        <v>1747</v>
      </c>
      <c r="Z587" s="1" t="s">
        <v>43</v>
      </c>
      <c r="AA587" s="1">
        <v>2024</v>
      </c>
      <c r="AB587" s="1" t="s">
        <v>77</v>
      </c>
      <c r="AC587" s="1" t="s">
        <v>45</v>
      </c>
      <c r="AD587" s="1" t="s">
        <v>43</v>
      </c>
      <c r="AE587" s="1" t="s">
        <v>43</v>
      </c>
      <c r="AF587" s="1"/>
      <c r="AG587" s="1" t="s">
        <v>43</v>
      </c>
      <c r="AH587" s="2">
        <v>44809</v>
      </c>
    </row>
    <row r="588" spans="1:34" x14ac:dyDescent="0.3">
      <c r="A588" s="1">
        <v>41101</v>
      </c>
      <c r="B588" s="1">
        <v>4.01</v>
      </c>
      <c r="C588" s="1">
        <v>479</v>
      </c>
      <c r="D588" s="1">
        <v>499</v>
      </c>
      <c r="E588" s="1" t="s">
        <v>43</v>
      </c>
      <c r="F588" s="1">
        <v>0</v>
      </c>
      <c r="G588" s="1" t="s">
        <v>2083</v>
      </c>
      <c r="H588" s="1" t="s">
        <v>1757</v>
      </c>
      <c r="I588" s="1" t="str">
        <f>HYPERLINK("https://www.systembolaget.se/produkt/sprit/talisker-41101/","https://www.systembolaget.se/produkt/sprit/talisker-41101/")</f>
        <v>https://www.systembolaget.se/produkt/sprit/talisker-41101/</v>
      </c>
      <c r="J588" s="1">
        <v>4.01</v>
      </c>
      <c r="K588" s="1">
        <v>4.01</v>
      </c>
      <c r="L588" s="2">
        <v>45389</v>
      </c>
      <c r="M588" s="1" t="s">
        <v>2084</v>
      </c>
      <c r="N588" s="1">
        <v>0.67</v>
      </c>
      <c r="O588" s="1">
        <v>700</v>
      </c>
      <c r="P588" s="1">
        <v>45.8</v>
      </c>
      <c r="Q588" s="1" t="s">
        <v>308</v>
      </c>
      <c r="R588" s="1" t="s">
        <v>309</v>
      </c>
      <c r="S588" s="1" t="s">
        <v>318</v>
      </c>
      <c r="T588" s="1"/>
      <c r="U588" s="1" t="s">
        <v>253</v>
      </c>
      <c r="V588" s="1" t="s">
        <v>254</v>
      </c>
      <c r="W588" s="1" t="s">
        <v>721</v>
      </c>
      <c r="X588" s="1" t="s">
        <v>2083</v>
      </c>
      <c r="Y588" s="1" t="s">
        <v>2085</v>
      </c>
      <c r="Z588" s="1" t="s">
        <v>43</v>
      </c>
      <c r="AA588" s="1"/>
      <c r="AB588" s="1" t="s">
        <v>44</v>
      </c>
      <c r="AC588" s="1" t="s">
        <v>90</v>
      </c>
      <c r="AD588" s="1" t="s">
        <v>43</v>
      </c>
      <c r="AE588" s="1" t="s">
        <v>43</v>
      </c>
      <c r="AF588" s="1">
        <v>2</v>
      </c>
      <c r="AG588" s="1" t="s">
        <v>43</v>
      </c>
      <c r="AH588" s="2">
        <v>34022</v>
      </c>
    </row>
    <row r="589" spans="1:34" x14ac:dyDescent="0.3">
      <c r="A589" s="1">
        <v>3591702</v>
      </c>
      <c r="B589" s="1">
        <v>3.91</v>
      </c>
      <c r="C589" s="1">
        <v>369</v>
      </c>
      <c r="D589" s="1">
        <v>384</v>
      </c>
      <c r="E589" s="1" t="s">
        <v>43</v>
      </c>
      <c r="F589" s="1">
        <v>0</v>
      </c>
      <c r="G589" s="1" t="s">
        <v>2086</v>
      </c>
      <c r="H589" s="1" t="s">
        <v>2087</v>
      </c>
      <c r="I589" s="1" t="str">
        <f>HYPERLINK("https://www.systembolaget.se/produkt/sprit/wannborga-3591702/","https://www.systembolaget.se/produkt/sprit/wannborga-3591702/")</f>
        <v>https://www.systembolaget.se/produkt/sprit/wannborga-3591702/</v>
      </c>
      <c r="J589" s="1">
        <v>0</v>
      </c>
      <c r="K589" s="1">
        <v>3.91</v>
      </c>
      <c r="L589" s="2">
        <v>45389</v>
      </c>
      <c r="M589" s="1" t="s">
        <v>2088</v>
      </c>
      <c r="N589" s="1">
        <v>0.78</v>
      </c>
      <c r="O589" s="1">
        <v>500</v>
      </c>
      <c r="P589" s="1">
        <v>57.5</v>
      </c>
      <c r="Q589" s="1" t="s">
        <v>308</v>
      </c>
      <c r="R589" s="1" t="s">
        <v>487</v>
      </c>
      <c r="S589" s="1" t="s">
        <v>488</v>
      </c>
      <c r="T589" s="1"/>
      <c r="U589" s="1" t="s">
        <v>110</v>
      </c>
      <c r="V589" s="1" t="s">
        <v>325</v>
      </c>
      <c r="W589" s="1" t="s">
        <v>326</v>
      </c>
      <c r="X589" s="1" t="s">
        <v>2089</v>
      </c>
      <c r="Y589" s="1" t="s">
        <v>2090</v>
      </c>
      <c r="Z589" s="1" t="s">
        <v>43</v>
      </c>
      <c r="AA589" s="1"/>
      <c r="AB589" s="1" t="s">
        <v>44</v>
      </c>
      <c r="AC589" s="1" t="s">
        <v>115</v>
      </c>
      <c r="AD589" s="1" t="s">
        <v>46</v>
      </c>
      <c r="AE589" s="1" t="s">
        <v>43</v>
      </c>
      <c r="AF589" s="1">
        <v>2</v>
      </c>
      <c r="AG589" s="1" t="s">
        <v>43</v>
      </c>
      <c r="AH589" s="2">
        <v>44292</v>
      </c>
    </row>
    <row r="590" spans="1:34" x14ac:dyDescent="0.3">
      <c r="A590" s="1">
        <v>3343102</v>
      </c>
      <c r="B590" s="1">
        <v>3.89</v>
      </c>
      <c r="C590" s="1">
        <v>321</v>
      </c>
      <c r="D590" s="1">
        <v>334</v>
      </c>
      <c r="E590" s="1" t="s">
        <v>43</v>
      </c>
      <c r="F590" s="1">
        <v>0</v>
      </c>
      <c r="G590" s="1" t="s">
        <v>2058</v>
      </c>
      <c r="H590" s="1" t="s">
        <v>2091</v>
      </c>
      <c r="I590" s="1" t="str">
        <f>HYPERLINK("https://www.systembolaget.se/produkt/sprit/torsbo-5-2-3343102/","https://www.systembolaget.se/produkt/sprit/torsbo-5-2-3343102/")</f>
        <v>https://www.systembolaget.se/produkt/sprit/torsbo-5-2-3343102/</v>
      </c>
      <c r="J590" s="1">
        <v>1.53</v>
      </c>
      <c r="K590" s="1">
        <v>3.89</v>
      </c>
      <c r="L590" s="2">
        <v>45852</v>
      </c>
      <c r="M590" s="1" t="s">
        <v>2092</v>
      </c>
      <c r="N590" s="1">
        <v>0.64</v>
      </c>
      <c r="O590" s="1">
        <v>500</v>
      </c>
      <c r="P590" s="1">
        <v>41</v>
      </c>
      <c r="Q590" s="1" t="s">
        <v>308</v>
      </c>
      <c r="R590" s="1" t="s">
        <v>487</v>
      </c>
      <c r="S590" s="1" t="s">
        <v>488</v>
      </c>
      <c r="T590" s="1"/>
      <c r="U590" s="1" t="s">
        <v>110</v>
      </c>
      <c r="V590" s="1" t="s">
        <v>136</v>
      </c>
      <c r="W590" s="1" t="s">
        <v>2057</v>
      </c>
      <c r="X590" s="1" t="s">
        <v>2058</v>
      </c>
      <c r="Y590" s="1" t="s">
        <v>2059</v>
      </c>
      <c r="Z590" s="1" t="s">
        <v>43</v>
      </c>
      <c r="AA590" s="1"/>
      <c r="AB590" s="1" t="s">
        <v>44</v>
      </c>
      <c r="AC590" s="1" t="s">
        <v>115</v>
      </c>
      <c r="AD590" s="1" t="s">
        <v>43</v>
      </c>
      <c r="AE590" s="1" t="s">
        <v>43</v>
      </c>
      <c r="AF590" s="1">
        <v>2</v>
      </c>
      <c r="AG590" s="1" t="s">
        <v>43</v>
      </c>
      <c r="AH590" s="2">
        <v>45873</v>
      </c>
    </row>
    <row r="591" spans="1:34" x14ac:dyDescent="0.3">
      <c r="A591" s="1">
        <v>1306715</v>
      </c>
      <c r="B591" s="1">
        <v>3.87</v>
      </c>
      <c r="C591" s="1">
        <v>14.9</v>
      </c>
      <c r="D591" s="1">
        <v>15.5</v>
      </c>
      <c r="E591" s="1" t="s">
        <v>43</v>
      </c>
      <c r="F591" s="1">
        <v>0</v>
      </c>
      <c r="G591" s="1" t="s">
        <v>2093</v>
      </c>
      <c r="H591" s="1" t="s">
        <v>2094</v>
      </c>
      <c r="I591" s="1" t="str">
        <f>HYPERLINK("https://www.systembolaget.se/produkt/cider-blanddrycker/pistonhead-1306715/","https://www.systembolaget.se/produkt/cider-blanddrycker/pistonhead-1306715/")</f>
        <v>https://www.systembolaget.se/produkt/cider-blanddrycker/pistonhead-1306715/</v>
      </c>
      <c r="J591" s="1">
        <v>0</v>
      </c>
      <c r="K591" s="1">
        <v>3.87</v>
      </c>
      <c r="L591" s="2">
        <v>45389</v>
      </c>
      <c r="M591" s="1" t="s">
        <v>2095</v>
      </c>
      <c r="N591" s="1">
        <v>1</v>
      </c>
      <c r="O591" s="1">
        <v>330</v>
      </c>
      <c r="P591" s="1">
        <v>4.5</v>
      </c>
      <c r="Q591" s="1" t="s">
        <v>157</v>
      </c>
      <c r="R591" s="1" t="s">
        <v>158</v>
      </c>
      <c r="S591" s="1" t="s">
        <v>159</v>
      </c>
      <c r="T591" s="1"/>
      <c r="U591" s="1" t="s">
        <v>110</v>
      </c>
      <c r="V591" s="1"/>
      <c r="W591" s="1"/>
      <c r="X591" s="1" t="s">
        <v>2096</v>
      </c>
      <c r="Y591" s="1" t="s">
        <v>285</v>
      </c>
      <c r="Z591" s="1" t="s">
        <v>46</v>
      </c>
      <c r="AA591" s="1"/>
      <c r="AB591" s="1" t="s">
        <v>114</v>
      </c>
      <c r="AC591" s="1" t="s">
        <v>90</v>
      </c>
      <c r="AD591" s="1" t="s">
        <v>43</v>
      </c>
      <c r="AE591" s="1" t="s">
        <v>43</v>
      </c>
      <c r="AF591" s="1">
        <v>93</v>
      </c>
      <c r="AG591" s="1" t="s">
        <v>43</v>
      </c>
      <c r="AH591" s="2">
        <v>45170</v>
      </c>
    </row>
    <row r="592" spans="1:34" x14ac:dyDescent="0.3">
      <c r="A592" s="1">
        <v>1306735</v>
      </c>
      <c r="B592" s="1">
        <v>3.87</v>
      </c>
      <c r="C592" s="1">
        <v>14.9</v>
      </c>
      <c r="D592" s="1">
        <v>15.5</v>
      </c>
      <c r="E592" s="1" t="s">
        <v>43</v>
      </c>
      <c r="F592" s="1">
        <v>0</v>
      </c>
      <c r="G592" s="1" t="s">
        <v>2093</v>
      </c>
      <c r="H592" s="1" t="s">
        <v>2094</v>
      </c>
      <c r="I592" s="1" t="str">
        <f>HYPERLINK("https://www.systembolaget.se/produkt/cider-blanddrycker/pistonhead-1306735/","https://www.systembolaget.se/produkt/cider-blanddrycker/pistonhead-1306735/")</f>
        <v>https://www.systembolaget.se/produkt/cider-blanddrycker/pistonhead-1306735/</v>
      </c>
      <c r="J592" s="1"/>
      <c r="K592" s="1">
        <v>3.87</v>
      </c>
      <c r="L592" s="2">
        <v>46035</v>
      </c>
      <c r="M592" s="1" t="s">
        <v>2097</v>
      </c>
      <c r="N592" s="1">
        <v>1</v>
      </c>
      <c r="O592" s="1">
        <v>330</v>
      </c>
      <c r="P592" s="1">
        <v>4.5</v>
      </c>
      <c r="Q592" s="1" t="s">
        <v>157</v>
      </c>
      <c r="R592" s="1" t="s">
        <v>158</v>
      </c>
      <c r="S592" s="1" t="s">
        <v>159</v>
      </c>
      <c r="T592" s="1"/>
      <c r="U592" s="1" t="s">
        <v>110</v>
      </c>
      <c r="V592" s="1"/>
      <c r="W592" s="1"/>
      <c r="X592" s="1" t="s">
        <v>2096</v>
      </c>
      <c r="Y592" s="1" t="s">
        <v>285</v>
      </c>
      <c r="Z592" s="1" t="s">
        <v>46</v>
      </c>
      <c r="AA592" s="1"/>
      <c r="AB592" s="1" t="s">
        <v>114</v>
      </c>
      <c r="AC592" s="1" t="s">
        <v>90</v>
      </c>
      <c r="AD592" s="1" t="s">
        <v>43</v>
      </c>
      <c r="AE592" s="1" t="s">
        <v>43</v>
      </c>
      <c r="AF592" s="1">
        <v>98</v>
      </c>
      <c r="AG592" s="1" t="s">
        <v>43</v>
      </c>
      <c r="AH592" s="2">
        <v>46023</v>
      </c>
    </row>
    <row r="593" spans="1:34" x14ac:dyDescent="0.3">
      <c r="A593" s="1">
        <v>254701</v>
      </c>
      <c r="B593" s="1">
        <v>3.86</v>
      </c>
      <c r="C593" s="1">
        <v>249</v>
      </c>
      <c r="D593" s="1">
        <v>259</v>
      </c>
      <c r="E593" s="1" t="s">
        <v>43</v>
      </c>
      <c r="F593" s="1">
        <v>0</v>
      </c>
      <c r="G593" s="1" t="s">
        <v>2098</v>
      </c>
      <c r="H593" s="1" t="s">
        <v>2099</v>
      </c>
      <c r="I593" s="1" t="str">
        <f>HYPERLINK("https://www.systembolaget.se/produkt/vin/il-seggio-254701/","https://www.systembolaget.se/produkt/vin/il-seggio-254701/")</f>
        <v>https://www.systembolaget.se/produkt/vin/il-seggio-254701/</v>
      </c>
      <c r="J593" s="1">
        <v>0</v>
      </c>
      <c r="K593" s="1">
        <v>3.86</v>
      </c>
      <c r="L593" s="2">
        <v>45389</v>
      </c>
      <c r="M593" s="1" t="s">
        <v>2100</v>
      </c>
      <c r="N593" s="1">
        <v>0.42</v>
      </c>
      <c r="O593" s="1">
        <v>750</v>
      </c>
      <c r="P593" s="1">
        <v>14</v>
      </c>
      <c r="Q593" s="1" t="s">
        <v>38</v>
      </c>
      <c r="R593" s="1" t="s">
        <v>52</v>
      </c>
      <c r="S593" s="1" t="s">
        <v>687</v>
      </c>
      <c r="T593" s="1"/>
      <c r="U593" s="1" t="s">
        <v>53</v>
      </c>
      <c r="V593" s="1" t="s">
        <v>63</v>
      </c>
      <c r="W593" s="1" t="s">
        <v>1065</v>
      </c>
      <c r="X593" s="1" t="s">
        <v>2099</v>
      </c>
      <c r="Y593" s="1" t="s">
        <v>407</v>
      </c>
      <c r="Z593" s="1" t="s">
        <v>43</v>
      </c>
      <c r="AA593" s="1">
        <v>2023</v>
      </c>
      <c r="AB593" s="1" t="s">
        <v>44</v>
      </c>
      <c r="AC593" s="1" t="s">
        <v>90</v>
      </c>
      <c r="AD593" s="1" t="s">
        <v>43</v>
      </c>
      <c r="AE593" s="1" t="s">
        <v>43</v>
      </c>
      <c r="AF593" s="1">
        <v>2</v>
      </c>
      <c r="AG593" s="1" t="s">
        <v>43</v>
      </c>
      <c r="AH593" s="2">
        <v>43801</v>
      </c>
    </row>
    <row r="594" spans="1:34" x14ac:dyDescent="0.3">
      <c r="A594" s="1">
        <v>3122115</v>
      </c>
      <c r="B594" s="1">
        <v>3.86</v>
      </c>
      <c r="C594" s="1">
        <v>24.9</v>
      </c>
      <c r="D594" s="1">
        <v>25.9</v>
      </c>
      <c r="E594" s="1" t="s">
        <v>43</v>
      </c>
      <c r="F594" s="1">
        <v>0</v>
      </c>
      <c r="G594" s="1" t="s">
        <v>2101</v>
      </c>
      <c r="H594" s="1" t="s">
        <v>2102</v>
      </c>
      <c r="I594" s="1" t="str">
        <f>HYPERLINK("https://www.systembolaget.se/produkt/ol/treudd-ipa-3122115/","https://www.systembolaget.se/produkt/ol/treudd-ipa-3122115/")</f>
        <v>https://www.systembolaget.se/produkt/ol/treudd-ipa-3122115/</v>
      </c>
      <c r="J594" s="1">
        <v>15.88</v>
      </c>
      <c r="K594" s="1">
        <v>4.2300000000000004</v>
      </c>
      <c r="L594" s="2">
        <v>45444</v>
      </c>
      <c r="M594" s="1" t="s">
        <v>2103</v>
      </c>
      <c r="N594" s="1">
        <v>0.73</v>
      </c>
      <c r="O594" s="1">
        <v>330</v>
      </c>
      <c r="P594" s="1">
        <v>5.5</v>
      </c>
      <c r="Q594" s="1" t="s">
        <v>107</v>
      </c>
      <c r="R594" s="1" t="s">
        <v>108</v>
      </c>
      <c r="S594" s="1" t="s">
        <v>790</v>
      </c>
      <c r="T594" s="1"/>
      <c r="U594" s="1" t="s">
        <v>110</v>
      </c>
      <c r="V594" s="1" t="s">
        <v>380</v>
      </c>
      <c r="W594" s="1" t="s">
        <v>2104</v>
      </c>
      <c r="X594" s="1" t="s">
        <v>2102</v>
      </c>
      <c r="Y594" s="1" t="s">
        <v>2105</v>
      </c>
      <c r="Z594" s="1" t="s">
        <v>43</v>
      </c>
      <c r="AA594" s="1"/>
      <c r="AB594" s="1" t="s">
        <v>114</v>
      </c>
      <c r="AC594" s="1" t="s">
        <v>115</v>
      </c>
      <c r="AD594" s="1" t="s">
        <v>46</v>
      </c>
      <c r="AE594" s="1" t="s">
        <v>43</v>
      </c>
      <c r="AF594" s="1"/>
      <c r="AG594" s="1" t="s">
        <v>43</v>
      </c>
      <c r="AH594" s="2">
        <v>44319</v>
      </c>
    </row>
    <row r="595" spans="1:34" x14ac:dyDescent="0.3">
      <c r="A595" s="1">
        <v>3600415</v>
      </c>
      <c r="B595" s="1">
        <v>3.86</v>
      </c>
      <c r="C595" s="1">
        <v>24.9</v>
      </c>
      <c r="D595" s="1">
        <v>25.9</v>
      </c>
      <c r="E595" s="1" t="s">
        <v>43</v>
      </c>
      <c r="F595" s="1">
        <v>0</v>
      </c>
      <c r="G595" s="1" t="s">
        <v>2106</v>
      </c>
      <c r="H595" s="1" t="s">
        <v>2107</v>
      </c>
      <c r="I595" s="1" t="str">
        <f>HYPERLINK("https://www.systembolaget.se/produkt/cider-blanddrycker/wet-city-spirits-3600415/","https://www.systembolaget.se/produkt/cider-blanddrycker/wet-city-spirits-3600415/")</f>
        <v>https://www.systembolaget.se/produkt/cider-blanddrycker/wet-city-spirits-3600415/</v>
      </c>
      <c r="J595" s="1">
        <v>0</v>
      </c>
      <c r="K595" s="1">
        <v>3.86</v>
      </c>
      <c r="L595" s="2">
        <v>45824</v>
      </c>
      <c r="M595" s="1" t="s">
        <v>2108</v>
      </c>
      <c r="N595" s="1">
        <v>0.5</v>
      </c>
      <c r="O595" s="1">
        <v>250</v>
      </c>
      <c r="P595" s="1">
        <v>5</v>
      </c>
      <c r="Q595" s="1" t="s">
        <v>157</v>
      </c>
      <c r="R595" s="1" t="s">
        <v>663</v>
      </c>
      <c r="S595" s="1" t="s">
        <v>159</v>
      </c>
      <c r="T595" s="1"/>
      <c r="U595" s="1" t="s">
        <v>110</v>
      </c>
      <c r="V595" s="1" t="s">
        <v>136</v>
      </c>
      <c r="W595" s="1" t="s">
        <v>137</v>
      </c>
      <c r="X595" s="1" t="s">
        <v>2109</v>
      </c>
      <c r="Y595" s="1" t="s">
        <v>1464</v>
      </c>
      <c r="Z595" s="1" t="s">
        <v>43</v>
      </c>
      <c r="AA595" s="1"/>
      <c r="AB595" s="1" t="s">
        <v>114</v>
      </c>
      <c r="AC595" s="1" t="s">
        <v>115</v>
      </c>
      <c r="AD595" s="1" t="s">
        <v>43</v>
      </c>
      <c r="AE595" s="1" t="s">
        <v>43</v>
      </c>
      <c r="AF595" s="1">
        <v>82</v>
      </c>
      <c r="AG595" s="1" t="s">
        <v>43</v>
      </c>
      <c r="AH595" s="2">
        <v>46146</v>
      </c>
    </row>
    <row r="596" spans="1:34" x14ac:dyDescent="0.3">
      <c r="A596" s="1">
        <v>8966515</v>
      </c>
      <c r="B596" s="1">
        <v>3.86</v>
      </c>
      <c r="C596" s="1">
        <v>24.9</v>
      </c>
      <c r="D596" s="1">
        <v>25.9</v>
      </c>
      <c r="E596" s="1" t="s">
        <v>43</v>
      </c>
      <c r="F596" s="1">
        <v>0</v>
      </c>
      <c r="G596" s="1" t="s">
        <v>2110</v>
      </c>
      <c r="H596" s="1" t="s">
        <v>2111</v>
      </c>
      <c r="I596" s="1" t="str">
        <f>HYPERLINK("https://www.systembolaget.se/produkt/ol/kona-brewing-8966515/","https://www.systembolaget.se/produkt/ol/kona-brewing-8966515/")</f>
        <v>https://www.systembolaget.se/produkt/ol/kona-brewing-8966515/</v>
      </c>
      <c r="J596" s="1">
        <v>3.86</v>
      </c>
      <c r="K596" s="1">
        <v>3.86</v>
      </c>
      <c r="L596" s="2">
        <v>45389</v>
      </c>
      <c r="M596" s="1" t="s">
        <v>2108</v>
      </c>
      <c r="N596" s="1">
        <v>0.63</v>
      </c>
      <c r="O596" s="1">
        <v>355</v>
      </c>
      <c r="P596" s="1">
        <v>4.4000000000000004</v>
      </c>
      <c r="Q596" s="1" t="s">
        <v>107</v>
      </c>
      <c r="R596" s="1" t="s">
        <v>108</v>
      </c>
      <c r="S596" s="1" t="s">
        <v>836</v>
      </c>
      <c r="T596" s="1"/>
      <c r="U596" s="1" t="s">
        <v>73</v>
      </c>
      <c r="V596" s="1"/>
      <c r="W596" s="1"/>
      <c r="X596" s="1" t="s">
        <v>2112</v>
      </c>
      <c r="Y596" s="1" t="s">
        <v>215</v>
      </c>
      <c r="Z596" s="1" t="s">
        <v>43</v>
      </c>
      <c r="AA596" s="1"/>
      <c r="AB596" s="1" t="s">
        <v>114</v>
      </c>
      <c r="AC596" s="1" t="s">
        <v>90</v>
      </c>
      <c r="AD596" s="1" t="s">
        <v>43</v>
      </c>
      <c r="AE596" s="1" t="s">
        <v>43</v>
      </c>
      <c r="AF596" s="1"/>
      <c r="AG596" s="1" t="s">
        <v>43</v>
      </c>
      <c r="AH596" s="2">
        <v>43892</v>
      </c>
    </row>
    <row r="597" spans="1:34" x14ac:dyDescent="0.3">
      <c r="A597" s="1">
        <v>7109206</v>
      </c>
      <c r="B597" s="1">
        <v>3.85</v>
      </c>
      <c r="C597" s="1">
        <v>4999</v>
      </c>
      <c r="D597" s="1">
        <v>5199</v>
      </c>
      <c r="E597" s="1" t="s">
        <v>43</v>
      </c>
      <c r="F597" s="1">
        <v>0</v>
      </c>
      <c r="G597" s="1" t="s">
        <v>2113</v>
      </c>
      <c r="H597" s="1" t="s">
        <v>1137</v>
      </c>
      <c r="I597" s="1" t="str">
        <f>HYPERLINK("https://www.systembolaget.se/produkt/vin/charmes-chambertin-les-mazoyeres-grand-cru-7109206/","https://www.systembolaget.se/produkt/vin/charmes-chambertin-les-mazoyeres-grand-cru-7109206/")</f>
        <v>https://www.systembolaget.se/produkt/vin/charmes-chambertin-les-mazoyeres-grand-cru-7109206/</v>
      </c>
      <c r="J597" s="1">
        <v>3.85</v>
      </c>
      <c r="K597" s="1">
        <v>3.85</v>
      </c>
      <c r="L597" s="2">
        <v>45860</v>
      </c>
      <c r="M597" s="1" t="s">
        <v>2114</v>
      </c>
      <c r="N597" s="1">
        <v>0.04</v>
      </c>
      <c r="O597" s="1">
        <v>1500</v>
      </c>
      <c r="P597" s="1">
        <v>13</v>
      </c>
      <c r="Q597" s="1" t="s">
        <v>38</v>
      </c>
      <c r="R597" s="1" t="s">
        <v>52</v>
      </c>
      <c r="S597" s="1"/>
      <c r="T597" s="1"/>
      <c r="U597" s="1" t="s">
        <v>101</v>
      </c>
      <c r="V597" s="1" t="s">
        <v>142</v>
      </c>
      <c r="W597" s="1" t="s">
        <v>725</v>
      </c>
      <c r="X597" s="1" t="s">
        <v>1137</v>
      </c>
      <c r="Y597" s="1" t="s">
        <v>678</v>
      </c>
      <c r="Z597" s="1" t="s">
        <v>46</v>
      </c>
      <c r="AA597" s="1">
        <v>2018</v>
      </c>
      <c r="AB597" s="1" t="s">
        <v>375</v>
      </c>
      <c r="AC597" s="1" t="s">
        <v>45</v>
      </c>
      <c r="AD597" s="1" t="s">
        <v>43</v>
      </c>
      <c r="AE597" s="1" t="s">
        <v>43</v>
      </c>
      <c r="AF597" s="1"/>
      <c r="AG597" s="1" t="s">
        <v>43</v>
      </c>
      <c r="AH597" s="2">
        <v>45852</v>
      </c>
    </row>
    <row r="598" spans="1:34" x14ac:dyDescent="0.3">
      <c r="A598" s="1">
        <v>7828501</v>
      </c>
      <c r="B598" s="1">
        <v>3.85</v>
      </c>
      <c r="C598" s="1">
        <v>499</v>
      </c>
      <c r="D598" s="1">
        <v>519</v>
      </c>
      <c r="E598" s="1" t="s">
        <v>43</v>
      </c>
      <c r="F598" s="1">
        <v>0</v>
      </c>
      <c r="G598" s="1" t="s">
        <v>2115</v>
      </c>
      <c r="H598" s="1" t="s">
        <v>812</v>
      </c>
      <c r="I598" s="1" t="str">
        <f>HYPERLINK("https://www.systembolaget.se/produkt/vin/graacher-himmelreich-spatlese-7828501/","https://www.systembolaget.se/produkt/vin/graacher-himmelreich-spatlese-7828501/")</f>
        <v>https://www.systembolaget.se/produkt/vin/graacher-himmelreich-spatlese-7828501/</v>
      </c>
      <c r="J598" s="1"/>
      <c r="K598" s="1">
        <v>3.85</v>
      </c>
      <c r="L598" s="2">
        <v>46001</v>
      </c>
      <c r="M598" s="1" t="s">
        <v>2116</v>
      </c>
      <c r="N598" s="1">
        <v>0.12</v>
      </c>
      <c r="O598" s="1">
        <v>750</v>
      </c>
      <c r="P598" s="1">
        <v>8</v>
      </c>
      <c r="Q598" s="1" t="s">
        <v>38</v>
      </c>
      <c r="R598" s="1" t="s">
        <v>39</v>
      </c>
      <c r="S598" s="1"/>
      <c r="T598" s="1"/>
      <c r="U598" s="1" t="s">
        <v>119</v>
      </c>
      <c r="V598" s="1" t="s">
        <v>814</v>
      </c>
      <c r="W598" s="1"/>
      <c r="X598" s="1" t="s">
        <v>815</v>
      </c>
      <c r="Y598" s="1" t="s">
        <v>678</v>
      </c>
      <c r="Z598" s="1" t="s">
        <v>43</v>
      </c>
      <c r="AA598" s="1">
        <v>2023</v>
      </c>
      <c r="AB598" s="1" t="s">
        <v>44</v>
      </c>
      <c r="AC598" s="1" t="s">
        <v>45</v>
      </c>
      <c r="AD598" s="1" t="s">
        <v>43</v>
      </c>
      <c r="AE598" s="1" t="s">
        <v>43</v>
      </c>
      <c r="AF598" s="1"/>
      <c r="AG598" s="1" t="s">
        <v>43</v>
      </c>
      <c r="AH598" s="2">
        <v>46008</v>
      </c>
    </row>
    <row r="599" spans="1:34" x14ac:dyDescent="0.3">
      <c r="A599" s="1">
        <v>1905801</v>
      </c>
      <c r="B599" s="1">
        <v>3.8</v>
      </c>
      <c r="C599" s="1">
        <v>76</v>
      </c>
      <c r="D599" s="1">
        <v>79</v>
      </c>
      <c r="E599" s="1" t="s">
        <v>43</v>
      </c>
      <c r="F599" s="1">
        <v>0</v>
      </c>
      <c r="G599" s="1" t="s">
        <v>2117</v>
      </c>
      <c r="H599" s="1" t="s">
        <v>2118</v>
      </c>
      <c r="I599" s="1" t="str">
        <f>HYPERLINK("https://www.systembolaget.se/produkt/alkoholfritt/riesling-returns-1905801/","https://www.systembolaget.se/produkt/alkoholfritt/riesling-returns-1905801/")</f>
        <v>https://www.systembolaget.se/produkt/alkoholfritt/riesling-returns-1905801/</v>
      </c>
      <c r="J599" s="1">
        <v>3.8</v>
      </c>
      <c r="K599" s="1">
        <v>3.8</v>
      </c>
      <c r="L599" s="2">
        <v>45880</v>
      </c>
      <c r="M599" s="1" t="s">
        <v>2119</v>
      </c>
      <c r="N599" s="1">
        <v>0.05</v>
      </c>
      <c r="O599" s="1">
        <v>750</v>
      </c>
      <c r="P599" s="1">
        <v>0.5</v>
      </c>
      <c r="Q599" s="1" t="s">
        <v>1579</v>
      </c>
      <c r="R599" s="1" t="s">
        <v>2120</v>
      </c>
      <c r="S599" s="1"/>
      <c r="T599" s="1"/>
      <c r="U599" s="1" t="s">
        <v>119</v>
      </c>
      <c r="V599" s="1"/>
      <c r="W599" s="1"/>
      <c r="X599" s="1" t="s">
        <v>454</v>
      </c>
      <c r="Y599" s="1" t="s">
        <v>285</v>
      </c>
      <c r="Z599" s="1" t="s">
        <v>43</v>
      </c>
      <c r="AA599" s="1"/>
      <c r="AB599" s="1" t="s">
        <v>77</v>
      </c>
      <c r="AC599" s="1" t="s">
        <v>1919</v>
      </c>
      <c r="AD599" s="1" t="s">
        <v>43</v>
      </c>
      <c r="AE599" s="1" t="s">
        <v>43</v>
      </c>
      <c r="AF599" s="1">
        <v>30</v>
      </c>
      <c r="AG599" s="1" t="s">
        <v>43</v>
      </c>
      <c r="AH599" s="2">
        <v>46248</v>
      </c>
    </row>
    <row r="600" spans="1:34" x14ac:dyDescent="0.3">
      <c r="A600" s="1">
        <v>9406601</v>
      </c>
      <c r="B600" s="1">
        <v>3.8</v>
      </c>
      <c r="C600" s="1">
        <v>76</v>
      </c>
      <c r="D600" s="1">
        <v>79</v>
      </c>
      <c r="E600" s="1" t="s">
        <v>43</v>
      </c>
      <c r="F600" s="1">
        <v>0</v>
      </c>
      <c r="G600" s="1" t="s">
        <v>2121</v>
      </c>
      <c r="H600" s="1" t="s">
        <v>2122</v>
      </c>
      <c r="I600" s="1" t="str">
        <f>HYPERLINK("https://www.systembolaget.se/produkt/alkoholfritt/cantina-zaccagnini-rosso-9406601/","https://www.systembolaget.se/produkt/alkoholfritt/cantina-zaccagnini-rosso-9406601/")</f>
        <v>https://www.systembolaget.se/produkt/alkoholfritt/cantina-zaccagnini-rosso-9406601/</v>
      </c>
      <c r="J600" s="1">
        <v>3.8</v>
      </c>
      <c r="K600" s="1">
        <v>3.8</v>
      </c>
      <c r="L600" s="2">
        <v>45516</v>
      </c>
      <c r="M600" s="1" t="s">
        <v>2123</v>
      </c>
      <c r="N600" s="1"/>
      <c r="O600" s="1">
        <v>750</v>
      </c>
      <c r="P600" s="1">
        <v>0</v>
      </c>
      <c r="Q600" s="1" t="s">
        <v>1579</v>
      </c>
      <c r="R600" s="1" t="s">
        <v>2124</v>
      </c>
      <c r="S600" s="1"/>
      <c r="T600" s="1"/>
      <c r="U600" s="1" t="s">
        <v>53</v>
      </c>
      <c r="V600" s="1"/>
      <c r="W600" s="1"/>
      <c r="X600" s="1" t="s">
        <v>1856</v>
      </c>
      <c r="Y600" s="1" t="s">
        <v>285</v>
      </c>
      <c r="Z600" s="1" t="s">
        <v>43</v>
      </c>
      <c r="AA600" s="1"/>
      <c r="AB600" s="1" t="s">
        <v>77</v>
      </c>
      <c r="AC600" s="1" t="s">
        <v>1919</v>
      </c>
      <c r="AD600" s="1" t="s">
        <v>43</v>
      </c>
      <c r="AE600" s="1" t="s">
        <v>43</v>
      </c>
      <c r="AF600" s="1">
        <v>32</v>
      </c>
      <c r="AG600" s="1" t="s">
        <v>43</v>
      </c>
      <c r="AH600" s="2">
        <v>46248</v>
      </c>
    </row>
    <row r="601" spans="1:34" x14ac:dyDescent="0.3">
      <c r="A601" s="1">
        <v>3157202</v>
      </c>
      <c r="B601" s="1">
        <v>3.77</v>
      </c>
      <c r="C601" s="1">
        <v>230</v>
      </c>
      <c r="D601" s="1">
        <v>239</v>
      </c>
      <c r="E601" s="1" t="s">
        <v>43</v>
      </c>
      <c r="F601" s="1">
        <v>0</v>
      </c>
      <c r="G601" s="1" t="s">
        <v>2125</v>
      </c>
      <c r="H601" s="1" t="s">
        <v>2126</v>
      </c>
      <c r="I601" s="1" t="str">
        <f>HYPERLINK("https://www.systembolaget.se/produkt/sprit/hammarby-sjostad-destilleri-3157202/","https://www.systembolaget.se/produkt/sprit/hammarby-sjostad-destilleri-3157202/")</f>
        <v>https://www.systembolaget.se/produkt/sprit/hammarby-sjostad-destilleri-3157202/</v>
      </c>
      <c r="J601" s="1"/>
      <c r="K601" s="1">
        <v>3.77</v>
      </c>
      <c r="L601" s="2">
        <v>46125</v>
      </c>
      <c r="M601" s="1" t="s">
        <v>2127</v>
      </c>
      <c r="N601" s="1">
        <v>0.61</v>
      </c>
      <c r="O601" s="1">
        <v>350</v>
      </c>
      <c r="P601" s="1">
        <v>40</v>
      </c>
      <c r="Q601" s="1" t="s">
        <v>308</v>
      </c>
      <c r="R601" s="1" t="s">
        <v>323</v>
      </c>
      <c r="S601" s="1" t="s">
        <v>324</v>
      </c>
      <c r="T601" s="1"/>
      <c r="U601" s="1" t="s">
        <v>110</v>
      </c>
      <c r="V601" s="1" t="s">
        <v>380</v>
      </c>
      <c r="W601" s="1" t="s">
        <v>919</v>
      </c>
      <c r="X601" s="1" t="s">
        <v>2125</v>
      </c>
      <c r="Y601" s="1" t="s">
        <v>2128</v>
      </c>
      <c r="Z601" s="1" t="s">
        <v>46</v>
      </c>
      <c r="AA601" s="1"/>
      <c r="AB601" s="1" t="s">
        <v>44</v>
      </c>
      <c r="AC601" s="1" t="s">
        <v>115</v>
      </c>
      <c r="AD601" s="1" t="s">
        <v>43</v>
      </c>
      <c r="AE601" s="1" t="s">
        <v>43</v>
      </c>
      <c r="AF601" s="1">
        <v>2</v>
      </c>
      <c r="AG601" s="1" t="s">
        <v>43</v>
      </c>
      <c r="AH601" s="2">
        <v>46146</v>
      </c>
    </row>
    <row r="602" spans="1:34" x14ac:dyDescent="0.3">
      <c r="A602" s="1">
        <v>2225706</v>
      </c>
      <c r="B602" s="1">
        <v>3.72</v>
      </c>
      <c r="C602" s="1">
        <v>259</v>
      </c>
      <c r="D602" s="1">
        <v>269</v>
      </c>
      <c r="E602" s="1" t="s">
        <v>43</v>
      </c>
      <c r="F602" s="1">
        <v>0</v>
      </c>
      <c r="G602" s="1" t="s">
        <v>2129</v>
      </c>
      <c r="H602" s="1" t="s">
        <v>2130</v>
      </c>
      <c r="I602" s="1" t="str">
        <f>HYPERLINK("https://www.systembolaget.se/produkt/vin/gustave-lorentz-2225706/","https://www.systembolaget.se/produkt/vin/gustave-lorentz-2225706/")</f>
        <v>https://www.systembolaget.se/produkt/vin/gustave-lorentz-2225706/</v>
      </c>
      <c r="J602" s="1">
        <v>0</v>
      </c>
      <c r="K602" s="1">
        <v>3.72</v>
      </c>
      <c r="L602" s="2">
        <v>45474</v>
      </c>
      <c r="M602" s="1" t="s">
        <v>2131</v>
      </c>
      <c r="N602" s="1">
        <v>0.72</v>
      </c>
      <c r="O602" s="1">
        <v>1500</v>
      </c>
      <c r="P602" s="1">
        <v>12.5</v>
      </c>
      <c r="Q602" s="1" t="s">
        <v>38</v>
      </c>
      <c r="R602" s="1" t="s">
        <v>39</v>
      </c>
      <c r="S602" s="1" t="s">
        <v>1239</v>
      </c>
      <c r="T602" s="1"/>
      <c r="U602" s="1" t="s">
        <v>101</v>
      </c>
      <c r="V602" s="1" t="s">
        <v>223</v>
      </c>
      <c r="W602" s="1"/>
      <c r="X602" s="1" t="s">
        <v>2129</v>
      </c>
      <c r="Y602" s="1" t="s">
        <v>1747</v>
      </c>
      <c r="Z602" s="1" t="s">
        <v>43</v>
      </c>
      <c r="AA602" s="1">
        <v>2025</v>
      </c>
      <c r="AB602" s="1" t="s">
        <v>375</v>
      </c>
      <c r="AC602" s="1" t="s">
        <v>90</v>
      </c>
      <c r="AD602" s="1" t="s">
        <v>43</v>
      </c>
      <c r="AE602" s="1" t="s">
        <v>43</v>
      </c>
      <c r="AF602" s="1">
        <v>4</v>
      </c>
      <c r="AG602" s="1" t="s">
        <v>43</v>
      </c>
      <c r="AH602" s="2">
        <v>38808</v>
      </c>
    </row>
    <row r="603" spans="1:34" x14ac:dyDescent="0.3">
      <c r="A603" s="1">
        <v>7726201</v>
      </c>
      <c r="B603" s="1">
        <v>3.72</v>
      </c>
      <c r="C603" s="1">
        <v>259</v>
      </c>
      <c r="D603" s="1">
        <v>269</v>
      </c>
      <c r="E603" s="1" t="s">
        <v>43</v>
      </c>
      <c r="F603" s="1">
        <v>0</v>
      </c>
      <c r="G603" s="1" t="s">
        <v>2132</v>
      </c>
      <c r="H603" s="1" t="s">
        <v>358</v>
      </c>
      <c r="I603" s="1" t="str">
        <f>HYPERLINK("https://www.systembolaget.se/produkt/vin/philippe-de-nantheuil-7726201/","https://www.systembolaget.se/produkt/vin/philippe-de-nantheuil-7726201/")</f>
        <v>https://www.systembolaget.se/produkt/vin/philippe-de-nantheuil-7726201/</v>
      </c>
      <c r="J603" s="1">
        <v>3.72</v>
      </c>
      <c r="K603" s="1">
        <v>3.72</v>
      </c>
      <c r="L603" s="2">
        <v>45389</v>
      </c>
      <c r="M603" s="1" t="s">
        <v>2133</v>
      </c>
      <c r="N603" s="1">
        <v>0.35</v>
      </c>
      <c r="O603" s="1">
        <v>750</v>
      </c>
      <c r="P603" s="1">
        <v>12</v>
      </c>
      <c r="Q603" s="1" t="s">
        <v>38</v>
      </c>
      <c r="R603" s="1" t="s">
        <v>61</v>
      </c>
      <c r="S603" s="1" t="s">
        <v>68</v>
      </c>
      <c r="T603" s="1"/>
      <c r="U603" s="1" t="s">
        <v>101</v>
      </c>
      <c r="V603" s="1" t="s">
        <v>346</v>
      </c>
      <c r="W603" s="1"/>
      <c r="X603" s="1" t="s">
        <v>2134</v>
      </c>
      <c r="Y603" s="1" t="s">
        <v>2135</v>
      </c>
      <c r="Z603" s="1" t="s">
        <v>43</v>
      </c>
      <c r="AA603" s="1"/>
      <c r="AB603" s="1" t="s">
        <v>44</v>
      </c>
      <c r="AC603" s="1" t="s">
        <v>90</v>
      </c>
      <c r="AD603" s="1" t="s">
        <v>43</v>
      </c>
      <c r="AE603" s="1" t="s">
        <v>43</v>
      </c>
      <c r="AF603" s="1">
        <v>7</v>
      </c>
      <c r="AG603" s="1" t="s">
        <v>43</v>
      </c>
      <c r="AH603" s="2">
        <v>41761</v>
      </c>
    </row>
    <row r="604" spans="1:34" x14ac:dyDescent="0.3">
      <c r="A604" s="1">
        <v>7339401</v>
      </c>
      <c r="B604" s="1">
        <v>3.69</v>
      </c>
      <c r="C604" s="1">
        <v>339</v>
      </c>
      <c r="D604" s="1">
        <v>352</v>
      </c>
      <c r="E604" s="1" t="s">
        <v>43</v>
      </c>
      <c r="F604" s="1">
        <v>0</v>
      </c>
      <c r="G604" s="1" t="s">
        <v>2136</v>
      </c>
      <c r="H604" s="1" t="s">
        <v>2137</v>
      </c>
      <c r="I604" s="1" t="str">
        <f>HYPERLINK("https://www.systembolaget.se/produkt/vin/charles-fox-7339401/","https://www.systembolaget.se/produkt/vin/charles-fox-7339401/")</f>
        <v>https://www.systembolaget.se/produkt/vin/charles-fox-7339401/</v>
      </c>
      <c r="J604" s="1">
        <v>-6.27</v>
      </c>
      <c r="K604" s="1">
        <v>3.69</v>
      </c>
      <c r="L604" s="2">
        <v>45444</v>
      </c>
      <c r="M604" s="1" t="s">
        <v>2138</v>
      </c>
      <c r="N604" s="1">
        <v>0.28000000000000003</v>
      </c>
      <c r="O604" s="1">
        <v>750</v>
      </c>
      <c r="P604" s="1">
        <v>12.5</v>
      </c>
      <c r="Q604" s="1" t="s">
        <v>38</v>
      </c>
      <c r="R604" s="1" t="s">
        <v>61</v>
      </c>
      <c r="S604" s="1" t="s">
        <v>68</v>
      </c>
      <c r="T604" s="1"/>
      <c r="U604" s="1" t="s">
        <v>289</v>
      </c>
      <c r="V604" s="1" t="s">
        <v>290</v>
      </c>
      <c r="W604" s="1" t="s">
        <v>1983</v>
      </c>
      <c r="X604" s="1" t="s">
        <v>2139</v>
      </c>
      <c r="Y604" s="1" t="s">
        <v>1956</v>
      </c>
      <c r="Z604" s="1" t="s">
        <v>43</v>
      </c>
      <c r="AA604" s="1">
        <v>2018</v>
      </c>
      <c r="AB604" s="1" t="s">
        <v>44</v>
      </c>
      <c r="AC604" s="1" t="s">
        <v>45</v>
      </c>
      <c r="AD604" s="1" t="s">
        <v>43</v>
      </c>
      <c r="AE604" s="1" t="s">
        <v>43</v>
      </c>
      <c r="AF604" s="1"/>
      <c r="AG604" s="1" t="s">
        <v>43</v>
      </c>
      <c r="AH604" s="2">
        <v>44090</v>
      </c>
    </row>
    <row r="605" spans="1:34" x14ac:dyDescent="0.3">
      <c r="A605" s="1">
        <v>2030135</v>
      </c>
      <c r="B605" s="1">
        <v>3.67</v>
      </c>
      <c r="C605" s="1">
        <v>10.5</v>
      </c>
      <c r="D605" s="1">
        <v>10.9</v>
      </c>
      <c r="E605" s="1" t="s">
        <v>43</v>
      </c>
      <c r="F605" s="1">
        <v>0</v>
      </c>
      <c r="G605" s="1" t="s">
        <v>2140</v>
      </c>
      <c r="H605" s="1" t="s">
        <v>2141</v>
      </c>
      <c r="I605" s="1" t="str">
        <f>HYPERLINK("https://www.systembolaget.se/produkt/ol/arboga-2030135/","https://www.systembolaget.se/produkt/ol/arboga-2030135/")</f>
        <v>https://www.systembolaget.se/produkt/ol/arboga-2030135/</v>
      </c>
      <c r="J605" s="1"/>
      <c r="K605" s="1">
        <v>3.67</v>
      </c>
      <c r="L605" s="2">
        <v>46077</v>
      </c>
      <c r="M605" s="1" t="s">
        <v>2142</v>
      </c>
      <c r="N605" s="1">
        <v>1.67</v>
      </c>
      <c r="O605" s="1">
        <v>330</v>
      </c>
      <c r="P605" s="1">
        <v>5.3</v>
      </c>
      <c r="Q605" s="1" t="s">
        <v>107</v>
      </c>
      <c r="R605" s="1" t="s">
        <v>134</v>
      </c>
      <c r="S605" s="1" t="s">
        <v>918</v>
      </c>
      <c r="T605" s="1"/>
      <c r="U605" s="1" t="s">
        <v>110</v>
      </c>
      <c r="V605" s="1"/>
      <c r="W605" s="1"/>
      <c r="X605" s="1" t="s">
        <v>1825</v>
      </c>
      <c r="Y605" s="1" t="s">
        <v>1337</v>
      </c>
      <c r="Z605" s="1" t="s">
        <v>43</v>
      </c>
      <c r="AA605" s="1"/>
      <c r="AB605" s="1" t="s">
        <v>114</v>
      </c>
      <c r="AC605" s="1" t="s">
        <v>90</v>
      </c>
      <c r="AD605" s="1" t="s">
        <v>43</v>
      </c>
      <c r="AE605" s="1" t="s">
        <v>43</v>
      </c>
      <c r="AF605" s="1"/>
      <c r="AG605" s="1" t="s">
        <v>43</v>
      </c>
      <c r="AH605" s="2">
        <v>46084</v>
      </c>
    </row>
    <row r="606" spans="1:34" x14ac:dyDescent="0.3">
      <c r="A606" s="1">
        <v>3914015</v>
      </c>
      <c r="B606" s="1">
        <v>3.67</v>
      </c>
      <c r="C606" s="1">
        <v>28.9</v>
      </c>
      <c r="D606" s="1">
        <v>30</v>
      </c>
      <c r="E606" s="1" t="s">
        <v>551</v>
      </c>
      <c r="F606" s="1">
        <v>0</v>
      </c>
      <c r="G606" s="1" t="s">
        <v>1461</v>
      </c>
      <c r="H606" s="1" t="s">
        <v>2143</v>
      </c>
      <c r="I606" s="1" t="str">
        <f>HYPERLINK("https://www.systembolaget.se/produkt/ol/beerbliotek-3914015/","https://www.systembolaget.se/produkt/ol/beerbliotek-3914015/")</f>
        <v>https://www.systembolaget.se/produkt/ol/beerbliotek-3914015/</v>
      </c>
      <c r="J606" s="1">
        <v>3.34</v>
      </c>
      <c r="K606" s="1">
        <v>3.67</v>
      </c>
      <c r="L606" s="2">
        <v>45444</v>
      </c>
      <c r="M606" s="1" t="s">
        <v>2144</v>
      </c>
      <c r="N606" s="1">
        <v>0.63</v>
      </c>
      <c r="O606" s="1">
        <v>330</v>
      </c>
      <c r="P606" s="1">
        <v>5.5</v>
      </c>
      <c r="Q606" s="1" t="s">
        <v>107</v>
      </c>
      <c r="R606" s="1" t="s">
        <v>108</v>
      </c>
      <c r="S606" s="1" t="s">
        <v>693</v>
      </c>
      <c r="T606" s="1"/>
      <c r="U606" s="1" t="s">
        <v>110</v>
      </c>
      <c r="V606" s="1" t="s">
        <v>136</v>
      </c>
      <c r="W606" s="1" t="s">
        <v>137</v>
      </c>
      <c r="X606" s="1" t="s">
        <v>1461</v>
      </c>
      <c r="Y606" s="1" t="s">
        <v>1464</v>
      </c>
      <c r="Z606" s="1" t="s">
        <v>43</v>
      </c>
      <c r="AA606" s="1"/>
      <c r="AB606" s="1" t="s">
        <v>114</v>
      </c>
      <c r="AC606" s="1" t="s">
        <v>115</v>
      </c>
      <c r="AD606" s="1" t="s">
        <v>43</v>
      </c>
      <c r="AE606" s="1" t="s">
        <v>43</v>
      </c>
      <c r="AF606" s="1"/>
      <c r="AG606" s="1" t="s">
        <v>43</v>
      </c>
      <c r="AH606" s="2">
        <v>45390</v>
      </c>
    </row>
    <row r="607" spans="1:34" x14ac:dyDescent="0.3">
      <c r="A607" s="1">
        <v>645101</v>
      </c>
      <c r="B607" s="1">
        <v>3.66</v>
      </c>
      <c r="C607" s="1">
        <v>79</v>
      </c>
      <c r="D607" s="1">
        <v>82</v>
      </c>
      <c r="E607" s="1" t="s">
        <v>43</v>
      </c>
      <c r="F607" s="1">
        <v>0</v>
      </c>
      <c r="G607" s="1" t="s">
        <v>2145</v>
      </c>
      <c r="H607" s="1" t="s">
        <v>147</v>
      </c>
      <c r="I607" s="1" t="str">
        <f>HYPERLINK("https://www.systembolaget.se/produkt/vin/aussie-kangarouge-645101/","https://www.systembolaget.se/produkt/vin/aussie-kangarouge-645101/")</f>
        <v>https://www.systembolaget.se/produkt/vin/aussie-kangarouge-645101/</v>
      </c>
      <c r="J607" s="1">
        <v>0</v>
      </c>
      <c r="K607" s="1">
        <v>3.66</v>
      </c>
      <c r="L607" s="2">
        <v>45476</v>
      </c>
      <c r="M607" s="1" t="s">
        <v>2146</v>
      </c>
      <c r="N607" s="1">
        <v>1.71</v>
      </c>
      <c r="O607" s="1">
        <v>1000</v>
      </c>
      <c r="P607" s="1">
        <v>13.5</v>
      </c>
      <c r="Q607" s="1" t="s">
        <v>38</v>
      </c>
      <c r="R607" s="1" t="s">
        <v>52</v>
      </c>
      <c r="S607" s="1" t="s">
        <v>84</v>
      </c>
      <c r="T607" s="1"/>
      <c r="U607" s="1" t="s">
        <v>149</v>
      </c>
      <c r="V607" s="1"/>
      <c r="W607" s="1"/>
      <c r="X607" s="1" t="s">
        <v>495</v>
      </c>
      <c r="Y607" s="1" t="s">
        <v>496</v>
      </c>
      <c r="Z607" s="1" t="s">
        <v>43</v>
      </c>
      <c r="AA607" s="1"/>
      <c r="AB607" s="1" t="s">
        <v>1709</v>
      </c>
      <c r="AC607" s="1" t="s">
        <v>90</v>
      </c>
      <c r="AD607" s="1" t="s">
        <v>43</v>
      </c>
      <c r="AE607" s="1" t="s">
        <v>43</v>
      </c>
      <c r="AF607" s="1">
        <v>6</v>
      </c>
      <c r="AG607" s="1" t="s">
        <v>43</v>
      </c>
      <c r="AH607" s="2">
        <v>38992</v>
      </c>
    </row>
    <row r="608" spans="1:34" x14ac:dyDescent="0.3">
      <c r="A608" s="1">
        <v>7565301</v>
      </c>
      <c r="B608" s="1">
        <v>3.63</v>
      </c>
      <c r="C608" s="1">
        <v>319</v>
      </c>
      <c r="D608" s="1">
        <v>331</v>
      </c>
      <c r="E608" s="1" t="s">
        <v>43</v>
      </c>
      <c r="F608" s="1">
        <v>0</v>
      </c>
      <c r="G608" s="1" t="s">
        <v>2147</v>
      </c>
      <c r="H608" s="1" t="s">
        <v>2148</v>
      </c>
      <c r="I608" s="1" t="str">
        <f>HYPERLINK("https://www.systembolaget.se/produkt/vin/saskia-7565301/","https://www.systembolaget.se/produkt/vin/saskia-7565301/")</f>
        <v>https://www.systembolaget.se/produkt/vin/saskia-7565301/</v>
      </c>
      <c r="J608" s="1">
        <v>0</v>
      </c>
      <c r="K608" s="1">
        <v>3.63</v>
      </c>
      <c r="L608" s="2">
        <v>45950</v>
      </c>
      <c r="M608" s="1" t="s">
        <v>2149</v>
      </c>
      <c r="N608" s="1">
        <v>0.31</v>
      </c>
      <c r="O608" s="1">
        <v>750</v>
      </c>
      <c r="P608" s="1">
        <v>13</v>
      </c>
      <c r="Q608" s="1" t="s">
        <v>38</v>
      </c>
      <c r="R608" s="1" t="s">
        <v>39</v>
      </c>
      <c r="S608" s="1"/>
      <c r="T608" s="1"/>
      <c r="U608" s="1" t="s">
        <v>289</v>
      </c>
      <c r="V608" s="1" t="s">
        <v>290</v>
      </c>
      <c r="W608" s="1" t="s">
        <v>291</v>
      </c>
      <c r="X608" s="1" t="s">
        <v>2148</v>
      </c>
      <c r="Y608" s="1" t="s">
        <v>1956</v>
      </c>
      <c r="Z608" s="1" t="s">
        <v>43</v>
      </c>
      <c r="AA608" s="1">
        <v>2022</v>
      </c>
      <c r="AB608" s="1" t="s">
        <v>44</v>
      </c>
      <c r="AC608" s="1" t="s">
        <v>45</v>
      </c>
      <c r="AD608" s="1" t="s">
        <v>43</v>
      </c>
      <c r="AE608" s="1" t="s">
        <v>43</v>
      </c>
      <c r="AF608" s="1"/>
      <c r="AG608" s="1" t="s">
        <v>43</v>
      </c>
      <c r="AH608" s="2">
        <v>45957</v>
      </c>
    </row>
    <row r="609" spans="1:34" x14ac:dyDescent="0.3">
      <c r="A609" s="1">
        <v>3022315</v>
      </c>
      <c r="B609" s="1">
        <v>3.58</v>
      </c>
      <c r="C609" s="1">
        <v>26.9</v>
      </c>
      <c r="D609" s="1">
        <v>27.9</v>
      </c>
      <c r="E609" s="1" t="s">
        <v>43</v>
      </c>
      <c r="F609" s="1">
        <v>0</v>
      </c>
      <c r="G609" s="1" t="s">
        <v>1616</v>
      </c>
      <c r="H609" s="1" t="s">
        <v>2150</v>
      </c>
      <c r="I609" s="1" t="str">
        <f>HYPERLINK("https://www.systembolaget.se/produkt/ol/vellinge-bryggeri-3022315/","https://www.systembolaget.se/produkt/ol/vellinge-bryggeri-3022315/")</f>
        <v>https://www.systembolaget.se/produkt/ol/vellinge-bryggeri-3022315/</v>
      </c>
      <c r="J609" s="1">
        <v>-3.86</v>
      </c>
      <c r="K609" s="1">
        <v>3.58</v>
      </c>
      <c r="L609" s="2">
        <v>45726</v>
      </c>
      <c r="M609" s="1" t="s">
        <v>2151</v>
      </c>
      <c r="N609" s="1">
        <v>0.67</v>
      </c>
      <c r="O609" s="1">
        <v>330</v>
      </c>
      <c r="P609" s="1">
        <v>5.5</v>
      </c>
      <c r="Q609" s="1" t="s">
        <v>107</v>
      </c>
      <c r="R609" s="1" t="s">
        <v>247</v>
      </c>
      <c r="S609" s="1" t="s">
        <v>248</v>
      </c>
      <c r="T609" s="1"/>
      <c r="U609" s="1" t="s">
        <v>110</v>
      </c>
      <c r="V609" s="1" t="s">
        <v>694</v>
      </c>
      <c r="W609" s="1" t="s">
        <v>1619</v>
      </c>
      <c r="X609" s="1" t="s">
        <v>1616</v>
      </c>
      <c r="Y609" s="1" t="s">
        <v>879</v>
      </c>
      <c r="Z609" s="1" t="s">
        <v>43</v>
      </c>
      <c r="AA609" s="1"/>
      <c r="AB609" s="1" t="s">
        <v>114</v>
      </c>
      <c r="AC609" s="1" t="s">
        <v>115</v>
      </c>
      <c r="AD609" s="1" t="s">
        <v>43</v>
      </c>
      <c r="AE609" s="1" t="s">
        <v>43</v>
      </c>
      <c r="AF609" s="1"/>
      <c r="AG609" s="1" t="s">
        <v>43</v>
      </c>
      <c r="AH609" s="2">
        <v>46097</v>
      </c>
    </row>
    <row r="610" spans="1:34" x14ac:dyDescent="0.3">
      <c r="A610" s="1">
        <v>49301</v>
      </c>
      <c r="B610" s="1">
        <v>3.58</v>
      </c>
      <c r="C610" s="1">
        <v>269</v>
      </c>
      <c r="D610" s="1">
        <v>279</v>
      </c>
      <c r="E610" s="1" t="s">
        <v>43</v>
      </c>
      <c r="F610" s="1">
        <v>0</v>
      </c>
      <c r="G610" s="1" t="s">
        <v>2152</v>
      </c>
      <c r="H610" s="1" t="s">
        <v>2153</v>
      </c>
      <c r="I610" s="1" t="str">
        <f>HYPERLINK("https://www.systembolaget.se/produkt/sprit/johnnie-walker-49301/","https://www.systembolaget.se/produkt/sprit/johnnie-walker-49301/")</f>
        <v>https://www.systembolaget.se/produkt/sprit/johnnie-walker-49301/</v>
      </c>
      <c r="J610" s="1">
        <v>3.58</v>
      </c>
      <c r="K610" s="1">
        <v>3.58</v>
      </c>
      <c r="L610" s="2">
        <v>45389</v>
      </c>
      <c r="M610" s="1" t="s">
        <v>2154</v>
      </c>
      <c r="N610" s="1">
        <v>1.04</v>
      </c>
      <c r="O610" s="1">
        <v>700</v>
      </c>
      <c r="P610" s="1">
        <v>40</v>
      </c>
      <c r="Q610" s="1" t="s">
        <v>308</v>
      </c>
      <c r="R610" s="1" t="s">
        <v>309</v>
      </c>
      <c r="S610" s="1" t="s">
        <v>1072</v>
      </c>
      <c r="T610" s="1"/>
      <c r="U610" s="1" t="s">
        <v>253</v>
      </c>
      <c r="V610" s="1" t="s">
        <v>254</v>
      </c>
      <c r="W610" s="1"/>
      <c r="X610" s="1" t="s">
        <v>2155</v>
      </c>
      <c r="Y610" s="1" t="s">
        <v>2085</v>
      </c>
      <c r="Z610" s="1" t="s">
        <v>43</v>
      </c>
      <c r="AA610" s="1"/>
      <c r="AB610" s="1" t="s">
        <v>77</v>
      </c>
      <c r="AC610" s="1" t="s">
        <v>90</v>
      </c>
      <c r="AD610" s="1" t="s">
        <v>43</v>
      </c>
      <c r="AE610" s="1" t="s">
        <v>43</v>
      </c>
      <c r="AF610" s="1">
        <v>2</v>
      </c>
      <c r="AG610" s="1" t="s">
        <v>43</v>
      </c>
      <c r="AH610" s="2">
        <v>34243</v>
      </c>
    </row>
    <row r="611" spans="1:34" x14ac:dyDescent="0.3">
      <c r="A611" s="1">
        <v>3396235</v>
      </c>
      <c r="B611" s="1">
        <v>3.58</v>
      </c>
      <c r="C611" s="1">
        <v>26.9</v>
      </c>
      <c r="D611" s="1">
        <v>27.9</v>
      </c>
      <c r="E611" s="1" t="s">
        <v>43</v>
      </c>
      <c r="F611" s="1">
        <v>0</v>
      </c>
      <c r="G611" s="1" t="s">
        <v>875</v>
      </c>
      <c r="H611" s="1" t="s">
        <v>2156</v>
      </c>
      <c r="I611" s="1" t="str">
        <f>HYPERLINK("https://www.systembolaget.se/produkt/ol/perfectly-squared-brewing-3396235/","https://www.systembolaget.se/produkt/ol/perfectly-squared-brewing-3396235/")</f>
        <v>https://www.systembolaget.se/produkt/ol/perfectly-squared-brewing-3396235/</v>
      </c>
      <c r="J611" s="1"/>
      <c r="K611" s="1">
        <v>3.58</v>
      </c>
      <c r="L611" s="2">
        <v>46216</v>
      </c>
      <c r="M611" s="1" t="s">
        <v>2157</v>
      </c>
      <c r="N611" s="1">
        <v>0.61</v>
      </c>
      <c r="O611" s="1">
        <v>330</v>
      </c>
      <c r="P611" s="1">
        <v>5</v>
      </c>
      <c r="Q611" s="1" t="s">
        <v>107</v>
      </c>
      <c r="R611" s="1" t="s">
        <v>134</v>
      </c>
      <c r="S611" s="1" t="s">
        <v>885</v>
      </c>
      <c r="T611" s="1"/>
      <c r="U611" s="1" t="s">
        <v>110</v>
      </c>
      <c r="V611" s="1" t="s">
        <v>694</v>
      </c>
      <c r="W611" s="1" t="s">
        <v>878</v>
      </c>
      <c r="X611" s="1" t="s">
        <v>875</v>
      </c>
      <c r="Y611" s="1" t="s">
        <v>879</v>
      </c>
      <c r="Z611" s="1" t="s">
        <v>43</v>
      </c>
      <c r="AA611" s="1"/>
      <c r="AB611" s="1" t="s">
        <v>114</v>
      </c>
      <c r="AC611" s="1" t="s">
        <v>115</v>
      </c>
      <c r="AD611" s="1" t="s">
        <v>43</v>
      </c>
      <c r="AE611" s="1" t="s">
        <v>43</v>
      </c>
      <c r="AF611" s="1"/>
      <c r="AG611" s="1" t="s">
        <v>43</v>
      </c>
      <c r="AH611" s="2">
        <v>46237</v>
      </c>
    </row>
    <row r="612" spans="1:34" x14ac:dyDescent="0.3">
      <c r="A612" s="1">
        <v>3963515</v>
      </c>
      <c r="B612" s="1">
        <v>3.58</v>
      </c>
      <c r="C612" s="1">
        <v>26.9</v>
      </c>
      <c r="D612" s="1">
        <v>27.9</v>
      </c>
      <c r="E612" s="1" t="s">
        <v>43</v>
      </c>
      <c r="F612" s="1">
        <v>0</v>
      </c>
      <c r="G612" s="1" t="s">
        <v>2158</v>
      </c>
      <c r="H612" s="1" t="s">
        <v>2159</v>
      </c>
      <c r="I612" s="1" t="str">
        <f>HYPERLINK("https://www.systembolaget.se/produkt/ol/smogenbryggar-n-3963515/","https://www.systembolaget.se/produkt/ol/smogenbryggar-n-3963515/")</f>
        <v>https://www.systembolaget.se/produkt/ol/smogenbryggar-n-3963515/</v>
      </c>
      <c r="J612" s="1">
        <v>0</v>
      </c>
      <c r="K612" s="1">
        <v>3.58</v>
      </c>
      <c r="L612" s="2">
        <v>45519</v>
      </c>
      <c r="M612" s="1" t="s">
        <v>2160</v>
      </c>
      <c r="N612" s="1">
        <v>0.74</v>
      </c>
      <c r="O612" s="1">
        <v>330</v>
      </c>
      <c r="P612" s="1">
        <v>6</v>
      </c>
      <c r="Q612" s="1" t="s">
        <v>107</v>
      </c>
      <c r="R612" s="1" t="s">
        <v>108</v>
      </c>
      <c r="S612" s="1" t="s">
        <v>693</v>
      </c>
      <c r="T612" s="1"/>
      <c r="U612" s="1" t="s">
        <v>110</v>
      </c>
      <c r="V612" s="1" t="s">
        <v>136</v>
      </c>
      <c r="W612" s="1" t="s">
        <v>2161</v>
      </c>
      <c r="X612" s="1" t="s">
        <v>2162</v>
      </c>
      <c r="Y612" s="1" t="s">
        <v>2163</v>
      </c>
      <c r="Z612" s="1" t="s">
        <v>43</v>
      </c>
      <c r="AA612" s="1"/>
      <c r="AB612" s="1" t="s">
        <v>114</v>
      </c>
      <c r="AC612" s="1" t="s">
        <v>115</v>
      </c>
      <c r="AD612" s="1" t="s">
        <v>43</v>
      </c>
      <c r="AE612" s="1" t="s">
        <v>43</v>
      </c>
      <c r="AF612" s="1"/>
      <c r="AG612" s="1" t="s">
        <v>43</v>
      </c>
      <c r="AH612" s="2">
        <v>45110</v>
      </c>
    </row>
    <row r="613" spans="1:34" x14ac:dyDescent="0.3">
      <c r="A613" s="1">
        <v>5051301</v>
      </c>
      <c r="B613" s="1">
        <v>3.57</v>
      </c>
      <c r="C613" s="1">
        <v>189</v>
      </c>
      <c r="D613" s="1">
        <v>196</v>
      </c>
      <c r="E613" s="1" t="s">
        <v>43</v>
      </c>
      <c r="F613" s="1">
        <v>0</v>
      </c>
      <c r="G613" s="1" t="s">
        <v>2164</v>
      </c>
      <c r="H613" s="1" t="s">
        <v>2165</v>
      </c>
      <c r="I613" s="1" t="str">
        <f>HYPERLINK("https://www.systembolaget.se/produkt/vin/bisci-5051301/","https://www.systembolaget.se/produkt/vin/bisci-5051301/")</f>
        <v>https://www.systembolaget.se/produkt/vin/bisci-5051301/</v>
      </c>
      <c r="J613" s="1">
        <v>3.08</v>
      </c>
      <c r="K613" s="1">
        <v>3.57</v>
      </c>
      <c r="L613" s="2">
        <v>45389</v>
      </c>
      <c r="M613" s="1" t="s">
        <v>2166</v>
      </c>
      <c r="N613" s="1">
        <v>0.52</v>
      </c>
      <c r="O613" s="1">
        <v>750</v>
      </c>
      <c r="P613" s="1">
        <v>13</v>
      </c>
      <c r="Q613" s="1" t="s">
        <v>38</v>
      </c>
      <c r="R613" s="1" t="s">
        <v>39</v>
      </c>
      <c r="S613" s="1"/>
      <c r="T613" s="1"/>
      <c r="U613" s="1" t="s">
        <v>53</v>
      </c>
      <c r="V613" s="1" t="s">
        <v>450</v>
      </c>
      <c r="W613" s="1" t="s">
        <v>2165</v>
      </c>
      <c r="X613" s="1" t="s">
        <v>2164</v>
      </c>
      <c r="Y613" s="1" t="s">
        <v>2167</v>
      </c>
      <c r="Z613" s="1" t="s">
        <v>46</v>
      </c>
      <c r="AA613" s="1">
        <v>2022</v>
      </c>
      <c r="AB613" s="1" t="s">
        <v>44</v>
      </c>
      <c r="AC613" s="1" t="s">
        <v>45</v>
      </c>
      <c r="AD613" s="1" t="s">
        <v>43</v>
      </c>
      <c r="AE613" s="1" t="s">
        <v>43</v>
      </c>
      <c r="AF613" s="1"/>
      <c r="AG613" s="1" t="s">
        <v>43</v>
      </c>
      <c r="AH613" s="2">
        <v>44286</v>
      </c>
    </row>
    <row r="614" spans="1:34" x14ac:dyDescent="0.3">
      <c r="A614" s="1">
        <v>7232201</v>
      </c>
      <c r="B614" s="1">
        <v>3.51</v>
      </c>
      <c r="C614" s="1">
        <v>549</v>
      </c>
      <c r="D614" s="1">
        <v>569</v>
      </c>
      <c r="E614" s="1" t="s">
        <v>43</v>
      </c>
      <c r="F614" s="1">
        <v>0</v>
      </c>
      <c r="G614" s="1" t="s">
        <v>1026</v>
      </c>
      <c r="H614" s="1" t="s">
        <v>2168</v>
      </c>
      <c r="I614" s="1" t="str">
        <f>HYPERLINK("https://www.systembolaget.se/produkt/vin/pommery-7232201/","https://www.systembolaget.se/produkt/vin/pommery-7232201/")</f>
        <v>https://www.systembolaget.se/produkt/vin/pommery-7232201/</v>
      </c>
      <c r="J614" s="1">
        <v>8.35</v>
      </c>
      <c r="K614" s="1">
        <v>3.51</v>
      </c>
      <c r="L614" s="2">
        <v>45444</v>
      </c>
      <c r="M614" s="1" t="s">
        <v>2169</v>
      </c>
      <c r="N614" s="1">
        <v>0.17</v>
      </c>
      <c r="O614" s="1">
        <v>750</v>
      </c>
      <c r="P614" s="1">
        <v>12.5</v>
      </c>
      <c r="Q614" s="1" t="s">
        <v>38</v>
      </c>
      <c r="R614" s="1" t="s">
        <v>61</v>
      </c>
      <c r="S614" s="1" t="s">
        <v>62</v>
      </c>
      <c r="T614" s="1"/>
      <c r="U614" s="1" t="s">
        <v>101</v>
      </c>
      <c r="V614" s="1" t="s">
        <v>346</v>
      </c>
      <c r="W614" s="1"/>
      <c r="X614" s="1" t="s">
        <v>1026</v>
      </c>
      <c r="Y614" s="1" t="s">
        <v>299</v>
      </c>
      <c r="Z614" s="1" t="s">
        <v>43</v>
      </c>
      <c r="AA614" s="1"/>
      <c r="AB614" s="1" t="s">
        <v>44</v>
      </c>
      <c r="AC614" s="1" t="s">
        <v>45</v>
      </c>
      <c r="AD614" s="1" t="s">
        <v>43</v>
      </c>
      <c r="AE614" s="1" t="s">
        <v>43</v>
      </c>
      <c r="AF614" s="1">
        <v>7</v>
      </c>
      <c r="AG614" s="1" t="s">
        <v>43</v>
      </c>
      <c r="AH614" s="2">
        <v>43486</v>
      </c>
    </row>
    <row r="615" spans="1:34" x14ac:dyDescent="0.3">
      <c r="A615" s="1">
        <v>7929301</v>
      </c>
      <c r="B615" s="1">
        <v>3.51</v>
      </c>
      <c r="C615" s="1">
        <v>549</v>
      </c>
      <c r="D615" s="1">
        <v>569</v>
      </c>
      <c r="E615" s="1" t="s">
        <v>43</v>
      </c>
      <c r="F615" s="1">
        <v>0</v>
      </c>
      <c r="G615" s="1" t="s">
        <v>1911</v>
      </c>
      <c r="H615" s="1" t="s">
        <v>2170</v>
      </c>
      <c r="I615" s="1" t="str">
        <f>HYPERLINK("https://www.systembolaget.se/produkt/vin/pazo-de-la-cuesta-7929301/","https://www.systembolaget.se/produkt/vin/pazo-de-la-cuesta-7929301/")</f>
        <v>https://www.systembolaget.se/produkt/vin/pazo-de-la-cuesta-7929301/</v>
      </c>
      <c r="J615" s="1">
        <v>3.35</v>
      </c>
      <c r="K615" s="1">
        <v>3.51</v>
      </c>
      <c r="L615" s="2">
        <v>45971</v>
      </c>
      <c r="M615" s="1" t="s">
        <v>2171</v>
      </c>
      <c r="N615" s="1">
        <v>0.18</v>
      </c>
      <c r="O615" s="1">
        <v>750</v>
      </c>
      <c r="P615" s="1">
        <v>13</v>
      </c>
      <c r="Q615" s="1" t="s">
        <v>38</v>
      </c>
      <c r="R615" s="1" t="s">
        <v>52</v>
      </c>
      <c r="S615" s="1"/>
      <c r="T615" s="1"/>
      <c r="U615" s="1" t="s">
        <v>164</v>
      </c>
      <c r="V615" s="1"/>
      <c r="W615" s="1"/>
      <c r="X615" s="1" t="s">
        <v>1911</v>
      </c>
      <c r="Y615" s="1" t="s">
        <v>905</v>
      </c>
      <c r="Z615" s="1" t="s">
        <v>43</v>
      </c>
      <c r="AA615" s="1">
        <v>2021</v>
      </c>
      <c r="AB615" s="1" t="s">
        <v>44</v>
      </c>
      <c r="AC615" s="1" t="s">
        <v>45</v>
      </c>
      <c r="AD615" s="1" t="s">
        <v>43</v>
      </c>
      <c r="AE615" s="1" t="s">
        <v>43</v>
      </c>
      <c r="AF615" s="1"/>
      <c r="AG615" s="1" t="s">
        <v>43</v>
      </c>
      <c r="AH615" s="2">
        <v>45978</v>
      </c>
    </row>
    <row r="616" spans="1:34" x14ac:dyDescent="0.3">
      <c r="A616" s="1">
        <v>7414201</v>
      </c>
      <c r="B616" s="1">
        <v>3.47</v>
      </c>
      <c r="C616" s="1">
        <v>250</v>
      </c>
      <c r="D616" s="1">
        <v>259</v>
      </c>
      <c r="E616" s="1" t="s">
        <v>43</v>
      </c>
      <c r="F616" s="1">
        <v>0</v>
      </c>
      <c r="G616" s="1" t="s">
        <v>2172</v>
      </c>
      <c r="H616" s="1" t="s">
        <v>2173</v>
      </c>
      <c r="I616" s="1" t="str">
        <f>HYPERLINK("https://www.systembolaget.se/produkt/vin/ceps-nous-7414201/","https://www.systembolaget.se/produkt/vin/ceps-nous-7414201/")</f>
        <v>https://www.systembolaget.se/produkt/vin/ceps-nous-7414201/</v>
      </c>
      <c r="J616" s="1">
        <v>-0.4</v>
      </c>
      <c r="K616" s="1">
        <v>3.47</v>
      </c>
      <c r="L616" s="2">
        <v>45439</v>
      </c>
      <c r="M616" s="1" t="s">
        <v>2174</v>
      </c>
      <c r="N616" s="1">
        <v>0.45</v>
      </c>
      <c r="O616" s="1">
        <v>750</v>
      </c>
      <c r="P616" s="1">
        <v>15</v>
      </c>
      <c r="Q616" s="1" t="s">
        <v>38</v>
      </c>
      <c r="R616" s="1" t="s">
        <v>52</v>
      </c>
      <c r="S616" s="1"/>
      <c r="T616" s="1"/>
      <c r="U616" s="1" t="s">
        <v>164</v>
      </c>
      <c r="V616" s="1" t="s">
        <v>401</v>
      </c>
      <c r="W616" s="1" t="s">
        <v>1485</v>
      </c>
      <c r="X616" s="1" t="s">
        <v>2175</v>
      </c>
      <c r="Y616" s="1" t="s">
        <v>1830</v>
      </c>
      <c r="Z616" s="1" t="s">
        <v>46</v>
      </c>
      <c r="AA616" s="1">
        <v>2021</v>
      </c>
      <c r="AB616" s="1" t="s">
        <v>44</v>
      </c>
      <c r="AC616" s="1" t="s">
        <v>45</v>
      </c>
      <c r="AD616" s="1" t="s">
        <v>43</v>
      </c>
      <c r="AE616" s="1" t="s">
        <v>43</v>
      </c>
      <c r="AF616" s="1"/>
      <c r="AG616" s="1" t="s">
        <v>43</v>
      </c>
      <c r="AH616" s="2">
        <v>45446</v>
      </c>
    </row>
    <row r="617" spans="1:34" x14ac:dyDescent="0.3">
      <c r="A617" s="1">
        <v>7444101</v>
      </c>
      <c r="B617" s="1">
        <v>3.47</v>
      </c>
      <c r="C617" s="1">
        <v>250</v>
      </c>
      <c r="D617" s="1">
        <v>259</v>
      </c>
      <c r="E617" s="1" t="s">
        <v>43</v>
      </c>
      <c r="F617" s="1">
        <v>0</v>
      </c>
      <c r="G617" s="1" t="s">
        <v>2176</v>
      </c>
      <c r="H617" s="1" t="s">
        <v>2177</v>
      </c>
      <c r="I617" s="1" t="str">
        <f>HYPERLINK("https://www.systembolaget.se/produkt/vin/viatge-al-priorat-7444101/","https://www.systembolaget.se/produkt/vin/viatge-al-priorat-7444101/")</f>
        <v>https://www.systembolaget.se/produkt/vin/viatge-al-priorat-7444101/</v>
      </c>
      <c r="J617" s="1">
        <v>-0.4</v>
      </c>
      <c r="K617" s="1">
        <v>3.47</v>
      </c>
      <c r="L617" s="2">
        <v>45535</v>
      </c>
      <c r="M617" s="1" t="s">
        <v>2174</v>
      </c>
      <c r="N617" s="1">
        <v>0.42</v>
      </c>
      <c r="O617" s="1">
        <v>750</v>
      </c>
      <c r="P617" s="1">
        <v>14</v>
      </c>
      <c r="Q617" s="1" t="s">
        <v>38</v>
      </c>
      <c r="R617" s="1" t="s">
        <v>52</v>
      </c>
      <c r="S617" s="1"/>
      <c r="T617" s="1"/>
      <c r="U617" s="1" t="s">
        <v>164</v>
      </c>
      <c r="V617" s="1" t="s">
        <v>401</v>
      </c>
      <c r="W617" s="1" t="s">
        <v>1485</v>
      </c>
      <c r="X617" s="1" t="s">
        <v>2177</v>
      </c>
      <c r="Y617" s="1" t="s">
        <v>1830</v>
      </c>
      <c r="Z617" s="1" t="s">
        <v>43</v>
      </c>
      <c r="AA617" s="1">
        <v>2022</v>
      </c>
      <c r="AB617" s="1" t="s">
        <v>44</v>
      </c>
      <c r="AC617" s="1" t="s">
        <v>45</v>
      </c>
      <c r="AD617" s="1" t="s">
        <v>43</v>
      </c>
      <c r="AE617" s="1" t="s">
        <v>43</v>
      </c>
      <c r="AF617" s="1"/>
      <c r="AG617" s="1" t="s">
        <v>43</v>
      </c>
      <c r="AH617" s="2">
        <v>45446</v>
      </c>
    </row>
    <row r="618" spans="1:34" x14ac:dyDescent="0.3">
      <c r="A618" s="1">
        <v>3291203</v>
      </c>
      <c r="B618" s="1">
        <v>3.46</v>
      </c>
      <c r="C618" s="1">
        <v>27.9</v>
      </c>
      <c r="D618" s="1">
        <v>28.9</v>
      </c>
      <c r="E618" s="1" t="s">
        <v>43</v>
      </c>
      <c r="F618" s="1">
        <v>0</v>
      </c>
      <c r="G618" s="1" t="s">
        <v>1494</v>
      </c>
      <c r="H618" s="1" t="s">
        <v>2178</v>
      </c>
      <c r="I618" s="1" t="str">
        <f>HYPERLINK("https://www.systembolaget.se/produkt/ol/barlingbo-bryggeri-3291203/","https://www.systembolaget.se/produkt/ol/barlingbo-bryggeri-3291203/")</f>
        <v>https://www.systembolaget.se/produkt/ol/barlingbo-bryggeri-3291203/</v>
      </c>
      <c r="J618" s="1">
        <v>3.46</v>
      </c>
      <c r="K618" s="1">
        <v>3.46</v>
      </c>
      <c r="L618" s="2">
        <v>45389</v>
      </c>
      <c r="M618" s="1" t="s">
        <v>2179</v>
      </c>
      <c r="N618" s="1">
        <v>0.95</v>
      </c>
      <c r="O618" s="1">
        <v>330</v>
      </c>
      <c r="P618" s="1">
        <v>8</v>
      </c>
      <c r="Q618" s="1" t="s">
        <v>107</v>
      </c>
      <c r="R618" s="1" t="s">
        <v>108</v>
      </c>
      <c r="S618" s="1" t="s">
        <v>532</v>
      </c>
      <c r="T618" s="1"/>
      <c r="U618" s="1" t="s">
        <v>110</v>
      </c>
      <c r="V618" s="1" t="s">
        <v>1492</v>
      </c>
      <c r="W618" s="1" t="s">
        <v>1493</v>
      </c>
      <c r="X618" s="1" t="s">
        <v>1494</v>
      </c>
      <c r="Y618" s="1" t="s">
        <v>1495</v>
      </c>
      <c r="Z618" s="1" t="s">
        <v>43</v>
      </c>
      <c r="AA618" s="1"/>
      <c r="AB618" s="1" t="s">
        <v>44</v>
      </c>
      <c r="AC618" s="1" t="s">
        <v>115</v>
      </c>
      <c r="AD618" s="1" t="s">
        <v>43</v>
      </c>
      <c r="AE618" s="1" t="s">
        <v>43</v>
      </c>
      <c r="AF618" s="1"/>
      <c r="AG618" s="1" t="s">
        <v>43</v>
      </c>
      <c r="AH618" s="2">
        <v>43222</v>
      </c>
    </row>
    <row r="619" spans="1:34" x14ac:dyDescent="0.3">
      <c r="A619" s="1">
        <v>7502401</v>
      </c>
      <c r="B619" s="1">
        <v>3.43</v>
      </c>
      <c r="C619" s="1">
        <v>169</v>
      </c>
      <c r="D619" s="1">
        <v>175</v>
      </c>
      <c r="E619" s="1" t="s">
        <v>43</v>
      </c>
      <c r="F619" s="1">
        <v>0</v>
      </c>
      <c r="G619" s="1" t="s">
        <v>2180</v>
      </c>
      <c r="H619" s="1" t="s">
        <v>2181</v>
      </c>
      <c r="I619" s="1" t="str">
        <f>HYPERLINK("https://www.systembolaget.se/produkt/vin/secateurs-red-blend-7502401/","https://www.systembolaget.se/produkt/vin/secateurs-red-blend-7502401/")</f>
        <v>https://www.systembolaget.se/produkt/vin/secateurs-red-blend-7502401/</v>
      </c>
      <c r="J619" s="1">
        <v>-2.42</v>
      </c>
      <c r="K619" s="1">
        <v>3.43</v>
      </c>
      <c r="L619" s="2">
        <v>45389</v>
      </c>
      <c r="M619" s="1" t="s">
        <v>2182</v>
      </c>
      <c r="N619" s="1">
        <v>0.6</v>
      </c>
      <c r="O619" s="1">
        <v>750</v>
      </c>
      <c r="P619" s="1">
        <v>13.5</v>
      </c>
      <c r="Q619" s="1" t="s">
        <v>38</v>
      </c>
      <c r="R619" s="1" t="s">
        <v>52</v>
      </c>
      <c r="S619" s="1"/>
      <c r="T619" s="1"/>
      <c r="U619" s="1" t="s">
        <v>289</v>
      </c>
      <c r="V619" s="1" t="s">
        <v>290</v>
      </c>
      <c r="W619" s="1" t="s">
        <v>291</v>
      </c>
      <c r="X619" s="1" t="s">
        <v>2183</v>
      </c>
      <c r="Y619" s="1" t="s">
        <v>678</v>
      </c>
      <c r="Z619" s="1" t="s">
        <v>43</v>
      </c>
      <c r="AA619" s="1">
        <v>2025</v>
      </c>
      <c r="AB619" s="1" t="s">
        <v>44</v>
      </c>
      <c r="AC619" s="1" t="s">
        <v>45</v>
      </c>
      <c r="AD619" s="1" t="s">
        <v>43</v>
      </c>
      <c r="AE619" s="1" t="s">
        <v>43</v>
      </c>
      <c r="AF619" s="1"/>
      <c r="AG619" s="1" t="s">
        <v>43</v>
      </c>
      <c r="AH619" s="2">
        <v>43871</v>
      </c>
    </row>
    <row r="620" spans="1:34" x14ac:dyDescent="0.3">
      <c r="A620" s="1">
        <v>7985901</v>
      </c>
      <c r="B620" s="1">
        <v>3.43</v>
      </c>
      <c r="C620" s="1">
        <v>169</v>
      </c>
      <c r="D620" s="1">
        <v>175</v>
      </c>
      <c r="E620" s="1" t="s">
        <v>459</v>
      </c>
      <c r="F620" s="1">
        <v>0</v>
      </c>
      <c r="G620" s="1" t="s">
        <v>2184</v>
      </c>
      <c r="H620" s="1" t="s">
        <v>2181</v>
      </c>
      <c r="I620" s="1" t="str">
        <f>HYPERLINK("https://www.systembolaget.se/produkt/vin/secateurs-chenin-blanc-7985901/","https://www.systembolaget.se/produkt/vin/secateurs-chenin-blanc-7985901/")</f>
        <v>https://www.systembolaget.se/produkt/vin/secateurs-chenin-blanc-7985901/</v>
      </c>
      <c r="J620" s="1">
        <v>-2.42</v>
      </c>
      <c r="K620" s="1">
        <v>3.43</v>
      </c>
      <c r="L620" s="2">
        <v>45389</v>
      </c>
      <c r="M620" s="1" t="s">
        <v>2182</v>
      </c>
      <c r="N620" s="1">
        <v>0.6</v>
      </c>
      <c r="O620" s="1">
        <v>750</v>
      </c>
      <c r="P620" s="1">
        <v>13.5</v>
      </c>
      <c r="Q620" s="1" t="s">
        <v>38</v>
      </c>
      <c r="R620" s="1" t="s">
        <v>39</v>
      </c>
      <c r="S620" s="1"/>
      <c r="T620" s="1"/>
      <c r="U620" s="1" t="s">
        <v>289</v>
      </c>
      <c r="V620" s="1" t="s">
        <v>290</v>
      </c>
      <c r="W620" s="1" t="s">
        <v>291</v>
      </c>
      <c r="X620" s="1" t="s">
        <v>2183</v>
      </c>
      <c r="Y620" s="1" t="s">
        <v>678</v>
      </c>
      <c r="Z620" s="1" t="s">
        <v>43</v>
      </c>
      <c r="AA620" s="1">
        <v>2025</v>
      </c>
      <c r="AB620" s="1" t="s">
        <v>44</v>
      </c>
      <c r="AC620" s="1" t="s">
        <v>45</v>
      </c>
      <c r="AD620" s="1" t="s">
        <v>43</v>
      </c>
      <c r="AE620" s="1" t="s">
        <v>43</v>
      </c>
      <c r="AF620" s="1"/>
      <c r="AG620" s="1" t="s">
        <v>43</v>
      </c>
      <c r="AH620" s="2">
        <v>43871</v>
      </c>
    </row>
    <row r="621" spans="1:34" x14ac:dyDescent="0.3">
      <c r="A621" s="1">
        <v>7970501</v>
      </c>
      <c r="B621" s="1">
        <v>3.4</v>
      </c>
      <c r="C621" s="1">
        <v>199</v>
      </c>
      <c r="D621" s="1">
        <v>206</v>
      </c>
      <c r="E621" s="1" t="s">
        <v>43</v>
      </c>
      <c r="F621" s="1">
        <v>0</v>
      </c>
      <c r="G621" s="1" t="s">
        <v>578</v>
      </c>
      <c r="H621" s="1" t="s">
        <v>2185</v>
      </c>
      <c r="I621" s="1" t="str">
        <f>HYPERLINK("https://www.systembolaget.se/produkt/vin/salice-salentino-7970501/","https://www.systembolaget.se/produkt/vin/salice-salentino-7970501/")</f>
        <v>https://www.systembolaget.se/produkt/vin/salice-salentino-7970501/</v>
      </c>
      <c r="J621" s="1">
        <v>2.93</v>
      </c>
      <c r="K621" s="1">
        <v>3.4</v>
      </c>
      <c r="L621" s="2">
        <v>45952</v>
      </c>
      <c r="M621" s="1" t="s">
        <v>2186</v>
      </c>
      <c r="N621" s="1">
        <v>0.51</v>
      </c>
      <c r="O621" s="1">
        <v>750</v>
      </c>
      <c r="P621" s="1">
        <v>13.5</v>
      </c>
      <c r="Q621" s="1" t="s">
        <v>38</v>
      </c>
      <c r="R621" s="1" t="s">
        <v>52</v>
      </c>
      <c r="S621" s="1"/>
      <c r="T621" s="1"/>
      <c r="U621" s="1" t="s">
        <v>53</v>
      </c>
      <c r="V621" s="1" t="s">
        <v>577</v>
      </c>
      <c r="W621" s="1" t="s">
        <v>578</v>
      </c>
      <c r="X621" s="1" t="s">
        <v>2187</v>
      </c>
      <c r="Y621" s="1" t="s">
        <v>2188</v>
      </c>
      <c r="Z621" s="1" t="s">
        <v>43</v>
      </c>
      <c r="AA621" s="1">
        <v>2017</v>
      </c>
      <c r="AB621" s="1" t="s">
        <v>44</v>
      </c>
      <c r="AC621" s="1" t="s">
        <v>45</v>
      </c>
      <c r="AD621" s="1" t="s">
        <v>46</v>
      </c>
      <c r="AE621" s="1" t="s">
        <v>43</v>
      </c>
      <c r="AF621" s="1"/>
      <c r="AG621" s="1" t="s">
        <v>43</v>
      </c>
      <c r="AH621" s="2">
        <v>45958</v>
      </c>
    </row>
    <row r="622" spans="1:34" x14ac:dyDescent="0.3">
      <c r="A622" s="1">
        <v>8467701</v>
      </c>
      <c r="B622" s="1">
        <v>3.4</v>
      </c>
      <c r="C622" s="1">
        <v>569</v>
      </c>
      <c r="D622" s="1">
        <v>589</v>
      </c>
      <c r="E622" s="1" t="s">
        <v>43</v>
      </c>
      <c r="F622" s="1">
        <v>0</v>
      </c>
      <c r="G622" s="1" t="s">
        <v>806</v>
      </c>
      <c r="H622" s="1" t="s">
        <v>2189</v>
      </c>
      <c r="I622" s="1" t="str">
        <f>HYPERLINK("https://www.systembolaget.se/produkt/sprit/loch-lomond-8467701/","https://www.systembolaget.se/produkt/sprit/loch-lomond-8467701/")</f>
        <v>https://www.systembolaget.se/produkt/sprit/loch-lomond-8467701/</v>
      </c>
      <c r="J622" s="1">
        <v>3.4</v>
      </c>
      <c r="K622" s="1">
        <v>3.4</v>
      </c>
      <c r="L622" s="2">
        <v>45712</v>
      </c>
      <c r="M622" s="1" t="s">
        <v>2190</v>
      </c>
      <c r="N622" s="1">
        <v>0.56999999999999995</v>
      </c>
      <c r="O622" s="1">
        <v>700</v>
      </c>
      <c r="P622" s="1">
        <v>46</v>
      </c>
      <c r="Q622" s="1" t="s">
        <v>308</v>
      </c>
      <c r="R622" s="1" t="s">
        <v>309</v>
      </c>
      <c r="S622" s="1" t="s">
        <v>318</v>
      </c>
      <c r="T622" s="1"/>
      <c r="U622" s="1" t="s">
        <v>253</v>
      </c>
      <c r="V622" s="1"/>
      <c r="W622" s="1"/>
      <c r="X622" s="1" t="s">
        <v>632</v>
      </c>
      <c r="Y622" s="1" t="s">
        <v>261</v>
      </c>
      <c r="Z622" s="1" t="s">
        <v>43</v>
      </c>
      <c r="AA622" s="1"/>
      <c r="AB622" s="1" t="s">
        <v>44</v>
      </c>
      <c r="AC622" s="1" t="s">
        <v>45</v>
      </c>
      <c r="AD622" s="1" t="s">
        <v>43</v>
      </c>
      <c r="AE622" s="1" t="s">
        <v>43</v>
      </c>
      <c r="AF622" s="1"/>
      <c r="AG622" s="1" t="s">
        <v>43</v>
      </c>
      <c r="AH622" s="2">
        <v>45719</v>
      </c>
    </row>
    <row r="623" spans="1:34" x14ac:dyDescent="0.3">
      <c r="A623" s="1">
        <v>3305302</v>
      </c>
      <c r="B623" s="1">
        <v>3.4</v>
      </c>
      <c r="C623" s="1">
        <v>199</v>
      </c>
      <c r="D623" s="1">
        <v>206</v>
      </c>
      <c r="E623" s="1" t="s">
        <v>43</v>
      </c>
      <c r="F623" s="1">
        <v>0</v>
      </c>
      <c r="G623" s="1" t="s">
        <v>2191</v>
      </c>
      <c r="H623" s="1" t="s">
        <v>2192</v>
      </c>
      <c r="I623" s="1" t="str">
        <f>HYPERLINK("https://www.systembolaget.se/produkt/sprit/olsbo-gardsbryggeri-3305302/","https://www.systembolaget.se/produkt/sprit/olsbo-gardsbryggeri-3305302/")</f>
        <v>https://www.systembolaget.se/produkt/sprit/olsbo-gardsbryggeri-3305302/</v>
      </c>
      <c r="J623" s="1"/>
      <c r="K623" s="1">
        <v>3.4</v>
      </c>
      <c r="L623" s="2">
        <v>46125</v>
      </c>
      <c r="M623" s="1" t="s">
        <v>2193</v>
      </c>
      <c r="N623" s="1">
        <v>0.67</v>
      </c>
      <c r="O623" s="1">
        <v>350</v>
      </c>
      <c r="P623" s="1">
        <v>38</v>
      </c>
      <c r="Q623" s="1" t="s">
        <v>308</v>
      </c>
      <c r="R623" s="1" t="s">
        <v>1645</v>
      </c>
      <c r="S623" s="1" t="s">
        <v>1646</v>
      </c>
      <c r="T623" s="1"/>
      <c r="U623" s="1" t="s">
        <v>110</v>
      </c>
      <c r="V623" s="1" t="s">
        <v>2194</v>
      </c>
      <c r="W623" s="1" t="s">
        <v>2195</v>
      </c>
      <c r="X623" s="1" t="s">
        <v>2191</v>
      </c>
      <c r="Y623" s="1" t="s">
        <v>2196</v>
      </c>
      <c r="Z623" s="1" t="s">
        <v>46</v>
      </c>
      <c r="AA623" s="1"/>
      <c r="AB623" s="1" t="s">
        <v>77</v>
      </c>
      <c r="AC623" s="1" t="s">
        <v>115</v>
      </c>
      <c r="AD623" s="1" t="s">
        <v>43</v>
      </c>
      <c r="AE623" s="1" t="s">
        <v>43</v>
      </c>
      <c r="AF623" s="1">
        <v>2</v>
      </c>
      <c r="AG623" s="1" t="s">
        <v>43</v>
      </c>
      <c r="AH623" s="2">
        <v>46146</v>
      </c>
    </row>
    <row r="624" spans="1:34" x14ac:dyDescent="0.3">
      <c r="A624" s="1">
        <v>9027501</v>
      </c>
      <c r="B624" s="1">
        <v>3.39</v>
      </c>
      <c r="C624" s="1">
        <v>57</v>
      </c>
      <c r="D624" s="1">
        <v>59</v>
      </c>
      <c r="E624" s="1" t="s">
        <v>551</v>
      </c>
      <c r="F624" s="1">
        <v>0</v>
      </c>
      <c r="G624" s="1" t="s">
        <v>2197</v>
      </c>
      <c r="H624" s="1" t="s">
        <v>2122</v>
      </c>
      <c r="I624" s="1" t="str">
        <f>HYPERLINK("https://www.systembolaget.se/produkt/alkoholfritt/chavin-florentina-red-fruit-organic-9027501/","https://www.systembolaget.se/produkt/alkoholfritt/chavin-florentina-red-fruit-organic-9027501/")</f>
        <v>https://www.systembolaget.se/produkt/alkoholfritt/chavin-florentina-red-fruit-organic-9027501/</v>
      </c>
      <c r="J624" s="1">
        <v>3.39</v>
      </c>
      <c r="K624" s="1">
        <v>3.39</v>
      </c>
      <c r="L624" s="2">
        <v>45789</v>
      </c>
      <c r="M624" s="1" t="s">
        <v>2198</v>
      </c>
      <c r="N624" s="1"/>
      <c r="O624" s="1">
        <v>750</v>
      </c>
      <c r="P624" s="1">
        <v>0</v>
      </c>
      <c r="Q624" s="1" t="s">
        <v>1579</v>
      </c>
      <c r="R624" s="1" t="s">
        <v>2199</v>
      </c>
      <c r="S624" s="1" t="s">
        <v>2200</v>
      </c>
      <c r="T624" s="1"/>
      <c r="U624" s="1" t="s">
        <v>101</v>
      </c>
      <c r="V624" s="1"/>
      <c r="W624" s="1"/>
      <c r="X624" s="1" t="s">
        <v>2201</v>
      </c>
      <c r="Y624" s="1" t="s">
        <v>285</v>
      </c>
      <c r="Z624" s="1" t="s">
        <v>46</v>
      </c>
      <c r="AA624" s="1"/>
      <c r="AB624" s="1" t="s">
        <v>44</v>
      </c>
      <c r="AC624" s="1" t="s">
        <v>1919</v>
      </c>
      <c r="AD624" s="1" t="s">
        <v>43</v>
      </c>
      <c r="AE624" s="1" t="s">
        <v>43</v>
      </c>
      <c r="AF624" s="1">
        <v>72</v>
      </c>
      <c r="AG624" s="1" t="s">
        <v>43</v>
      </c>
      <c r="AH624" s="2">
        <v>46157</v>
      </c>
    </row>
    <row r="625" spans="1:34" x14ac:dyDescent="0.3">
      <c r="A625" s="1">
        <v>8329601</v>
      </c>
      <c r="B625" s="1">
        <v>3.34</v>
      </c>
      <c r="C625" s="1">
        <v>579</v>
      </c>
      <c r="D625" s="1">
        <v>599</v>
      </c>
      <c r="E625" s="1" t="s">
        <v>43</v>
      </c>
      <c r="F625" s="1">
        <v>0</v>
      </c>
      <c r="G625" s="1" t="s">
        <v>1262</v>
      </c>
      <c r="H625" s="1" t="s">
        <v>2202</v>
      </c>
      <c r="I625" s="1" t="str">
        <f>HYPERLINK("https://www.systembolaget.se/produkt/sprit/bacanal-8329601/","https://www.systembolaget.se/produkt/sprit/bacanal-8329601/")</f>
        <v>https://www.systembolaget.se/produkt/sprit/bacanal-8329601/</v>
      </c>
      <c r="J625" s="1"/>
      <c r="K625" s="1">
        <v>3.34</v>
      </c>
      <c r="L625" s="2">
        <v>46085</v>
      </c>
      <c r="M625" s="1" t="s">
        <v>2203</v>
      </c>
      <c r="N625" s="1">
        <v>0.45</v>
      </c>
      <c r="O625" s="1">
        <v>700</v>
      </c>
      <c r="P625" s="1">
        <v>37.5</v>
      </c>
      <c r="Q625" s="1" t="s">
        <v>308</v>
      </c>
      <c r="R625" s="1" t="s">
        <v>908</v>
      </c>
      <c r="S625" s="1" t="s">
        <v>909</v>
      </c>
      <c r="T625" s="1"/>
      <c r="U625" s="1" t="s">
        <v>1265</v>
      </c>
      <c r="V625" s="1"/>
      <c r="W625" s="1"/>
      <c r="X625" s="1" t="s">
        <v>1266</v>
      </c>
      <c r="Y625" s="1" t="s">
        <v>1267</v>
      </c>
      <c r="Z625" s="1" t="s">
        <v>43</v>
      </c>
      <c r="AA625" s="1"/>
      <c r="AB625" s="1" t="s">
        <v>44</v>
      </c>
      <c r="AC625" s="1" t="s">
        <v>45</v>
      </c>
      <c r="AD625" s="1" t="s">
        <v>43</v>
      </c>
      <c r="AE625" s="1" t="s">
        <v>43</v>
      </c>
      <c r="AF625" s="1"/>
      <c r="AG625" s="1" t="s">
        <v>43</v>
      </c>
      <c r="AH625" s="2">
        <v>46092</v>
      </c>
    </row>
    <row r="626" spans="1:34" x14ac:dyDescent="0.3">
      <c r="A626" s="1">
        <v>3104235</v>
      </c>
      <c r="B626" s="1">
        <v>3.34</v>
      </c>
      <c r="C626" s="1">
        <v>28.9</v>
      </c>
      <c r="D626" s="1">
        <v>29.9</v>
      </c>
      <c r="E626" s="1" t="s">
        <v>43</v>
      </c>
      <c r="F626" s="1">
        <v>0</v>
      </c>
      <c r="G626" s="1" t="s">
        <v>1616</v>
      </c>
      <c r="H626" s="1" t="s">
        <v>2204</v>
      </c>
      <c r="I626" s="1" t="str">
        <f>HYPERLINK("https://www.systembolaget.se/produkt/ol/vellinge-bryggeri-3104235/","https://www.systembolaget.se/produkt/ol/vellinge-bryggeri-3104235/")</f>
        <v>https://www.systembolaget.se/produkt/ol/vellinge-bryggeri-3104235/</v>
      </c>
      <c r="J626" s="1"/>
      <c r="K626" s="1">
        <v>3.34</v>
      </c>
      <c r="L626" s="2">
        <v>46034</v>
      </c>
      <c r="M626" s="1" t="s">
        <v>2205</v>
      </c>
      <c r="N626" s="1">
        <v>0.56999999999999995</v>
      </c>
      <c r="O626" s="1">
        <v>330</v>
      </c>
      <c r="P626" s="1">
        <v>5</v>
      </c>
      <c r="Q626" s="1" t="s">
        <v>107</v>
      </c>
      <c r="R626" s="1" t="s">
        <v>712</v>
      </c>
      <c r="S626" s="1" t="s">
        <v>1531</v>
      </c>
      <c r="T626" s="1"/>
      <c r="U626" s="1" t="s">
        <v>110</v>
      </c>
      <c r="V626" s="1" t="s">
        <v>694</v>
      </c>
      <c r="W626" s="1" t="s">
        <v>1619</v>
      </c>
      <c r="X626" s="1" t="s">
        <v>1616</v>
      </c>
      <c r="Y626" s="1" t="s">
        <v>879</v>
      </c>
      <c r="Z626" s="1" t="s">
        <v>43</v>
      </c>
      <c r="AA626" s="1"/>
      <c r="AB626" s="1" t="s">
        <v>114</v>
      </c>
      <c r="AC626" s="1" t="s">
        <v>115</v>
      </c>
      <c r="AD626" s="1" t="s">
        <v>46</v>
      </c>
      <c r="AE626" s="1" t="s">
        <v>43</v>
      </c>
      <c r="AF626" s="1"/>
      <c r="AG626" s="1" t="s">
        <v>43</v>
      </c>
      <c r="AH626" s="2">
        <v>46055</v>
      </c>
    </row>
    <row r="627" spans="1:34" x14ac:dyDescent="0.3">
      <c r="A627" s="1">
        <v>3008701</v>
      </c>
      <c r="B627" s="1">
        <v>3.34</v>
      </c>
      <c r="C627" s="1">
        <v>28.9</v>
      </c>
      <c r="D627" s="1">
        <v>29.9</v>
      </c>
      <c r="E627" s="1" t="s">
        <v>43</v>
      </c>
      <c r="F627" s="1">
        <v>0</v>
      </c>
      <c r="G627" s="1" t="s">
        <v>870</v>
      </c>
      <c r="H627" s="1" t="s">
        <v>2206</v>
      </c>
      <c r="I627" s="1" t="str">
        <f>HYPERLINK("https://www.systembolaget.se/produkt/ol/goteborgs-nya-bryggeri-3008701/","https://www.systembolaget.se/produkt/ol/goteborgs-nya-bryggeri-3008701/")</f>
        <v>https://www.systembolaget.se/produkt/ol/goteborgs-nya-bryggeri-3008701/</v>
      </c>
      <c r="J627" s="1">
        <v>3.34</v>
      </c>
      <c r="K627" s="1">
        <v>3.34</v>
      </c>
      <c r="L627" s="2">
        <v>45398</v>
      </c>
      <c r="M627" s="1" t="s">
        <v>2207</v>
      </c>
      <c r="N627" s="1">
        <v>0.99</v>
      </c>
      <c r="O627" s="1">
        <v>500</v>
      </c>
      <c r="P627" s="1">
        <v>5.7</v>
      </c>
      <c r="Q627" s="1" t="s">
        <v>107</v>
      </c>
      <c r="R627" s="1" t="s">
        <v>134</v>
      </c>
      <c r="S627" s="1" t="s">
        <v>243</v>
      </c>
      <c r="T627" s="1"/>
      <c r="U627" s="1" t="s">
        <v>110</v>
      </c>
      <c r="V627" s="1" t="s">
        <v>136</v>
      </c>
      <c r="W627" s="1" t="s">
        <v>137</v>
      </c>
      <c r="X627" s="1" t="s">
        <v>870</v>
      </c>
      <c r="Y627" s="1" t="s">
        <v>874</v>
      </c>
      <c r="Z627" s="1" t="s">
        <v>43</v>
      </c>
      <c r="AA627" s="1"/>
      <c r="AB627" s="1" t="s">
        <v>882</v>
      </c>
      <c r="AC627" s="1" t="s">
        <v>115</v>
      </c>
      <c r="AD627" s="1" t="s">
        <v>43</v>
      </c>
      <c r="AE627" s="1" t="s">
        <v>43</v>
      </c>
      <c r="AF627" s="1"/>
      <c r="AG627" s="1" t="s">
        <v>43</v>
      </c>
      <c r="AH627" s="2">
        <v>45418</v>
      </c>
    </row>
    <row r="628" spans="1:34" x14ac:dyDescent="0.3">
      <c r="A628" s="1">
        <v>7232901</v>
      </c>
      <c r="B628" s="1">
        <v>3.34</v>
      </c>
      <c r="C628" s="1">
        <v>289</v>
      </c>
      <c r="D628" s="1">
        <v>299</v>
      </c>
      <c r="E628" s="1" t="s">
        <v>459</v>
      </c>
      <c r="F628" s="1">
        <v>0</v>
      </c>
      <c r="G628" s="1" t="s">
        <v>2208</v>
      </c>
      <c r="H628" s="1" t="s">
        <v>2209</v>
      </c>
      <c r="I628" s="1" t="str">
        <f>HYPERLINK("https://www.systembolaget.se/produkt/vin/canebbio-langhe-nebbiolo-7232901/","https://www.systembolaget.se/produkt/vin/canebbio-langhe-nebbiolo-7232901/")</f>
        <v>https://www.systembolaget.se/produkt/vin/canebbio-langhe-nebbiolo-7232901/</v>
      </c>
      <c r="J628" s="1">
        <v>0</v>
      </c>
      <c r="K628" s="1">
        <v>3.34</v>
      </c>
      <c r="L628" s="2">
        <v>45472</v>
      </c>
      <c r="M628" s="1" t="s">
        <v>2210</v>
      </c>
      <c r="N628" s="1">
        <v>0.38</v>
      </c>
      <c r="O628" s="1">
        <v>750</v>
      </c>
      <c r="P628" s="1">
        <v>14.5</v>
      </c>
      <c r="Q628" s="1" t="s">
        <v>38</v>
      </c>
      <c r="R628" s="1" t="s">
        <v>52</v>
      </c>
      <c r="S628" s="1"/>
      <c r="T628" s="1"/>
      <c r="U628" s="1" t="s">
        <v>53</v>
      </c>
      <c r="V628" s="1" t="s">
        <v>95</v>
      </c>
      <c r="W628" s="1" t="s">
        <v>550</v>
      </c>
      <c r="X628" s="1" t="s">
        <v>2209</v>
      </c>
      <c r="Y628" s="1" t="s">
        <v>64</v>
      </c>
      <c r="Z628" s="1" t="s">
        <v>43</v>
      </c>
      <c r="AA628" s="1">
        <v>2020</v>
      </c>
      <c r="AB628" s="1" t="s">
        <v>44</v>
      </c>
      <c r="AC628" s="1" t="s">
        <v>45</v>
      </c>
      <c r="AD628" s="1" t="s">
        <v>43</v>
      </c>
      <c r="AE628" s="1" t="s">
        <v>43</v>
      </c>
      <c r="AF628" s="1"/>
      <c r="AG628" s="1" t="s">
        <v>43</v>
      </c>
      <c r="AH628" s="2">
        <v>43299</v>
      </c>
    </row>
    <row r="629" spans="1:34" x14ac:dyDescent="0.3">
      <c r="A629" s="1">
        <v>5574101</v>
      </c>
      <c r="B629" s="1">
        <v>3.34</v>
      </c>
      <c r="C629" s="1">
        <v>289</v>
      </c>
      <c r="D629" s="1">
        <v>299</v>
      </c>
      <c r="E629" s="1" t="s">
        <v>43</v>
      </c>
      <c r="F629" s="1">
        <v>0</v>
      </c>
      <c r="G629" s="1" t="s">
        <v>2211</v>
      </c>
      <c r="H629" s="1"/>
      <c r="I629" s="1" t="str">
        <f>HYPERLINK("https://www.systembolaget.se/produkt/vin/la-creu-5574101/","https://www.systembolaget.se/produkt/vin/la-creu-5574101/")</f>
        <v>https://www.systembolaget.se/produkt/vin/la-creu-5574101/</v>
      </c>
      <c r="J629" s="1">
        <v>19.5</v>
      </c>
      <c r="K629" s="1">
        <v>3.34</v>
      </c>
      <c r="L629" s="2">
        <v>45389</v>
      </c>
      <c r="M629" s="1" t="s">
        <v>2212</v>
      </c>
      <c r="N629" s="1">
        <v>0.35</v>
      </c>
      <c r="O629" s="1">
        <v>750</v>
      </c>
      <c r="P629" s="1">
        <v>13.5</v>
      </c>
      <c r="Q629" s="1" t="s">
        <v>38</v>
      </c>
      <c r="R629" s="1" t="s">
        <v>39</v>
      </c>
      <c r="S629" s="1"/>
      <c r="T629" s="1"/>
      <c r="U629" s="1" t="s">
        <v>164</v>
      </c>
      <c r="V629" s="1" t="s">
        <v>401</v>
      </c>
      <c r="W629" s="1" t="s">
        <v>402</v>
      </c>
      <c r="X629" s="1" t="s">
        <v>2213</v>
      </c>
      <c r="Y629" s="1" t="s">
        <v>479</v>
      </c>
      <c r="Z629" s="1" t="s">
        <v>46</v>
      </c>
      <c r="AA629" s="1">
        <v>2022</v>
      </c>
      <c r="AB629" s="1" t="s">
        <v>44</v>
      </c>
      <c r="AC629" s="1" t="s">
        <v>45</v>
      </c>
      <c r="AD629" s="1" t="s">
        <v>43</v>
      </c>
      <c r="AE629" s="1" t="s">
        <v>43</v>
      </c>
      <c r="AF629" s="1"/>
      <c r="AG629" s="1" t="s">
        <v>43</v>
      </c>
      <c r="AH629" s="2">
        <v>44608</v>
      </c>
    </row>
    <row r="630" spans="1:34" x14ac:dyDescent="0.3">
      <c r="A630" s="1">
        <v>7058302</v>
      </c>
      <c r="B630" s="1">
        <v>3.33</v>
      </c>
      <c r="C630" s="1">
        <v>319</v>
      </c>
      <c r="D630" s="1">
        <v>330</v>
      </c>
      <c r="E630" s="1" t="s">
        <v>43</v>
      </c>
      <c r="F630" s="1">
        <v>0</v>
      </c>
      <c r="G630" s="1" t="s">
        <v>2214</v>
      </c>
      <c r="H630" s="1" t="s">
        <v>2215</v>
      </c>
      <c r="I630" s="1" t="str">
        <f>HYPERLINK("https://www.systembolaget.se/produkt/sprit/stockholms-branneri-7058302/","https://www.systembolaget.se/produkt/sprit/stockholms-branneri-7058302/")</f>
        <v>https://www.systembolaget.se/produkt/sprit/stockholms-branneri-7058302/</v>
      </c>
      <c r="J630" s="1">
        <v>3.04</v>
      </c>
      <c r="K630" s="1">
        <v>3.33</v>
      </c>
      <c r="L630" s="2">
        <v>45763</v>
      </c>
      <c r="M630" s="1" t="s">
        <v>2216</v>
      </c>
      <c r="N630" s="1">
        <v>0.63</v>
      </c>
      <c r="O630" s="1">
        <v>500</v>
      </c>
      <c r="P630" s="1">
        <v>40</v>
      </c>
      <c r="Q630" s="1" t="s">
        <v>308</v>
      </c>
      <c r="R630" s="1" t="s">
        <v>487</v>
      </c>
      <c r="S630" s="1" t="s">
        <v>488</v>
      </c>
      <c r="T630" s="1"/>
      <c r="U630" s="1" t="s">
        <v>110</v>
      </c>
      <c r="V630" s="1" t="s">
        <v>380</v>
      </c>
      <c r="W630" s="1"/>
      <c r="X630" s="1" t="s">
        <v>2214</v>
      </c>
      <c r="Y630" s="1" t="s">
        <v>2217</v>
      </c>
      <c r="Z630" s="1" t="s">
        <v>46</v>
      </c>
      <c r="AA630" s="1"/>
      <c r="AB630" s="1" t="s">
        <v>77</v>
      </c>
      <c r="AC630" s="1" t="s">
        <v>90</v>
      </c>
      <c r="AD630" s="1" t="s">
        <v>43</v>
      </c>
      <c r="AE630" s="1" t="s">
        <v>43</v>
      </c>
      <c r="AF630" s="1">
        <v>2</v>
      </c>
      <c r="AG630" s="1" t="s">
        <v>43</v>
      </c>
      <c r="AH630" s="2">
        <v>43256</v>
      </c>
    </row>
    <row r="631" spans="1:34" x14ac:dyDescent="0.3">
      <c r="A631" s="1">
        <v>5598703</v>
      </c>
      <c r="B631" s="1">
        <v>3.24</v>
      </c>
      <c r="C631" s="1">
        <v>29.9</v>
      </c>
      <c r="D631" s="1">
        <v>30.9</v>
      </c>
      <c r="E631" s="1" t="s">
        <v>43</v>
      </c>
      <c r="F631" s="1">
        <v>24</v>
      </c>
      <c r="G631" s="1" t="s">
        <v>2218</v>
      </c>
      <c r="H631" s="1" t="s">
        <v>2219</v>
      </c>
      <c r="I631" s="1" t="str">
        <f>HYPERLINK("https://www.systembolaget.se/produkt/cider-blanddrycker/kupela-5598703/","https://www.systembolaget.se/produkt/cider-blanddrycker/kupela-5598703/")</f>
        <v>https://www.systembolaget.se/produkt/cider-blanddrycker/kupela-5598703/</v>
      </c>
      <c r="J631" s="1">
        <v>2.92</v>
      </c>
      <c r="K631" s="1">
        <v>3.24</v>
      </c>
      <c r="L631" s="2">
        <v>45389</v>
      </c>
      <c r="M631" s="1" t="s">
        <v>2220</v>
      </c>
      <c r="N631" s="1">
        <v>0.44</v>
      </c>
      <c r="O631" s="1">
        <v>330</v>
      </c>
      <c r="P631" s="1">
        <v>4</v>
      </c>
      <c r="Q631" s="1" t="s">
        <v>157</v>
      </c>
      <c r="R631" s="1" t="s">
        <v>158</v>
      </c>
      <c r="S631" s="1" t="s">
        <v>159</v>
      </c>
      <c r="T631" s="1"/>
      <c r="U631" s="1" t="s">
        <v>164</v>
      </c>
      <c r="V631" s="1"/>
      <c r="W631" s="1"/>
      <c r="X631" s="1" t="s">
        <v>2221</v>
      </c>
      <c r="Y631" s="1" t="s">
        <v>215</v>
      </c>
      <c r="Z631" s="1" t="s">
        <v>43</v>
      </c>
      <c r="AA631" s="1"/>
      <c r="AB631" s="1" t="s">
        <v>44</v>
      </c>
      <c r="AC631" s="1" t="s">
        <v>45</v>
      </c>
      <c r="AD631" s="1" t="s">
        <v>43</v>
      </c>
      <c r="AE631" s="1" t="s">
        <v>43</v>
      </c>
      <c r="AF631" s="1"/>
      <c r="AG631" s="1" t="s">
        <v>43</v>
      </c>
      <c r="AH631" s="2">
        <v>44620</v>
      </c>
    </row>
    <row r="632" spans="1:34" x14ac:dyDescent="0.3">
      <c r="A632" s="1">
        <v>623701</v>
      </c>
      <c r="B632" s="1">
        <v>3.24</v>
      </c>
      <c r="C632" s="1">
        <v>299</v>
      </c>
      <c r="D632" s="1">
        <v>309</v>
      </c>
      <c r="E632" s="1" t="s">
        <v>43</v>
      </c>
      <c r="F632" s="1">
        <v>0</v>
      </c>
      <c r="G632" s="1" t="s">
        <v>2222</v>
      </c>
      <c r="H632" s="1" t="s">
        <v>2223</v>
      </c>
      <c r="I632" s="1" t="str">
        <f>HYPERLINK("https://www.systembolaget.se/produkt/vin/chablis-premier-cru-623701/","https://www.systembolaget.se/produkt/vin/chablis-premier-cru-623701/")</f>
        <v>https://www.systembolaget.se/produkt/vin/chablis-premier-cru-623701/</v>
      </c>
      <c r="J632" s="1">
        <v>0</v>
      </c>
      <c r="K632" s="1">
        <v>3.24</v>
      </c>
      <c r="L632" s="2">
        <v>45389</v>
      </c>
      <c r="M632" s="1" t="s">
        <v>2224</v>
      </c>
      <c r="N632" s="1">
        <v>0.33</v>
      </c>
      <c r="O632" s="1">
        <v>750</v>
      </c>
      <c r="P632" s="1">
        <v>13</v>
      </c>
      <c r="Q632" s="1" t="s">
        <v>38</v>
      </c>
      <c r="R632" s="1" t="s">
        <v>39</v>
      </c>
      <c r="S632" s="1" t="s">
        <v>184</v>
      </c>
      <c r="T632" s="1"/>
      <c r="U632" s="1" t="s">
        <v>101</v>
      </c>
      <c r="V632" s="1" t="s">
        <v>142</v>
      </c>
      <c r="W632" s="1" t="s">
        <v>1542</v>
      </c>
      <c r="X632" s="1" t="s">
        <v>2225</v>
      </c>
      <c r="Y632" s="1" t="s">
        <v>429</v>
      </c>
      <c r="Z632" s="1" t="s">
        <v>43</v>
      </c>
      <c r="AA632" s="1">
        <v>2022</v>
      </c>
      <c r="AB632" s="1" t="s">
        <v>44</v>
      </c>
      <c r="AC632" s="1" t="s">
        <v>90</v>
      </c>
      <c r="AD632" s="1" t="s">
        <v>43</v>
      </c>
      <c r="AE632" s="1" t="s">
        <v>43</v>
      </c>
      <c r="AF632" s="1">
        <v>2</v>
      </c>
      <c r="AG632" s="1" t="s">
        <v>43</v>
      </c>
      <c r="AH632" s="2">
        <v>40602</v>
      </c>
    </row>
    <row r="633" spans="1:34" x14ac:dyDescent="0.3">
      <c r="A633" s="1">
        <v>8422101</v>
      </c>
      <c r="B633" s="1">
        <v>3.24</v>
      </c>
      <c r="C633" s="1">
        <v>299</v>
      </c>
      <c r="D633" s="1">
        <v>309</v>
      </c>
      <c r="E633" s="1" t="s">
        <v>43</v>
      </c>
      <c r="F633" s="1">
        <v>0</v>
      </c>
      <c r="G633" s="1" t="s">
        <v>2226</v>
      </c>
      <c r="H633" s="1" t="s">
        <v>2227</v>
      </c>
      <c r="I633" s="1" t="str">
        <f>HYPERLINK("https://www.systembolaget.se/produkt/sprit/black-tears-8422101/","https://www.systembolaget.se/produkt/sprit/black-tears-8422101/")</f>
        <v>https://www.systembolaget.se/produkt/sprit/black-tears-8422101/</v>
      </c>
      <c r="J633" s="1">
        <v>0</v>
      </c>
      <c r="K633" s="1">
        <v>3.24</v>
      </c>
      <c r="L633" s="2">
        <v>45565</v>
      </c>
      <c r="M633" s="1" t="s">
        <v>2224</v>
      </c>
      <c r="N633" s="1">
        <v>0.94</v>
      </c>
      <c r="O633" s="1">
        <v>700</v>
      </c>
      <c r="P633" s="1">
        <v>40</v>
      </c>
      <c r="Q633" s="1" t="s">
        <v>308</v>
      </c>
      <c r="R633" s="1" t="s">
        <v>908</v>
      </c>
      <c r="S633" s="1" t="s">
        <v>1362</v>
      </c>
      <c r="T633" s="1"/>
      <c r="U633" s="1" t="s">
        <v>2228</v>
      </c>
      <c r="V633" s="1"/>
      <c r="W633" s="1"/>
      <c r="X633" s="1" t="s">
        <v>2229</v>
      </c>
      <c r="Y633" s="1" t="s">
        <v>479</v>
      </c>
      <c r="Z633" s="1" t="s">
        <v>43</v>
      </c>
      <c r="AA633" s="1"/>
      <c r="AB633" s="1" t="s">
        <v>44</v>
      </c>
      <c r="AC633" s="1" t="s">
        <v>45</v>
      </c>
      <c r="AD633" s="1" t="s">
        <v>43</v>
      </c>
      <c r="AE633" s="1" t="s">
        <v>43</v>
      </c>
      <c r="AF633" s="1"/>
      <c r="AG633" s="1" t="s">
        <v>43</v>
      </c>
      <c r="AH633" s="2">
        <v>45572</v>
      </c>
    </row>
    <row r="634" spans="1:34" x14ac:dyDescent="0.3">
      <c r="A634" s="1">
        <v>3957834</v>
      </c>
      <c r="B634" s="1">
        <v>3.23</v>
      </c>
      <c r="C634" s="1">
        <v>30</v>
      </c>
      <c r="D634" s="1">
        <v>31</v>
      </c>
      <c r="E634" s="1" t="s">
        <v>43</v>
      </c>
      <c r="F634" s="1">
        <v>0</v>
      </c>
      <c r="G634" s="1" t="s">
        <v>2230</v>
      </c>
      <c r="H634" s="1" t="s">
        <v>2231</v>
      </c>
      <c r="I634" s="1" t="str">
        <f>HYPERLINK("https://www.systembolaget.se/produkt/ol/jamtlands-bryggeri-3957834/","https://www.systembolaget.se/produkt/ol/jamtlands-bryggeri-3957834/")</f>
        <v>https://www.systembolaget.se/produkt/ol/jamtlands-bryggeri-3957834/</v>
      </c>
      <c r="J634" s="1"/>
      <c r="K634" s="1">
        <v>3.23</v>
      </c>
      <c r="L634" s="2">
        <v>46153</v>
      </c>
      <c r="M634" s="1" t="s">
        <v>2232</v>
      </c>
      <c r="N634" s="1">
        <v>0.75</v>
      </c>
      <c r="O634" s="1">
        <v>440</v>
      </c>
      <c r="P634" s="1">
        <v>5.0999999999999996</v>
      </c>
      <c r="Q634" s="1" t="s">
        <v>107</v>
      </c>
      <c r="R634" s="1" t="s">
        <v>134</v>
      </c>
      <c r="S634" s="1" t="s">
        <v>885</v>
      </c>
      <c r="T634" s="1"/>
      <c r="U634" s="1" t="s">
        <v>110</v>
      </c>
      <c r="V634" s="1" t="s">
        <v>1678</v>
      </c>
      <c r="W634" s="1" t="s">
        <v>2233</v>
      </c>
      <c r="X634" s="1" t="s">
        <v>2230</v>
      </c>
      <c r="Y634" s="1" t="s">
        <v>2234</v>
      </c>
      <c r="Z634" s="1" t="s">
        <v>43</v>
      </c>
      <c r="AA634" s="1"/>
      <c r="AB634" s="1" t="s">
        <v>114</v>
      </c>
      <c r="AC634" s="1" t="s">
        <v>115</v>
      </c>
      <c r="AD634" s="1" t="s">
        <v>43</v>
      </c>
      <c r="AE634" s="1" t="s">
        <v>43</v>
      </c>
      <c r="AF634" s="1"/>
      <c r="AG634" s="1" t="s">
        <v>43</v>
      </c>
      <c r="AH634" s="2">
        <v>46174</v>
      </c>
    </row>
    <row r="635" spans="1:34" x14ac:dyDescent="0.3">
      <c r="A635" s="1">
        <v>3796735</v>
      </c>
      <c r="B635" s="1">
        <v>3.23</v>
      </c>
      <c r="C635" s="1">
        <v>30</v>
      </c>
      <c r="D635" s="1">
        <v>31</v>
      </c>
      <c r="E635" s="1" t="s">
        <v>43</v>
      </c>
      <c r="F635" s="1">
        <v>0</v>
      </c>
      <c r="G635" s="1" t="s">
        <v>2230</v>
      </c>
      <c r="H635" s="1" t="s">
        <v>2235</v>
      </c>
      <c r="I635" s="1" t="str">
        <f>HYPERLINK("https://www.systembolaget.se/produkt/ol/jamtlands-bryggeri-3796735/","https://www.systembolaget.se/produkt/ol/jamtlands-bryggeri-3796735/")</f>
        <v>https://www.systembolaget.se/produkt/ol/jamtlands-bryggeri-3796735/</v>
      </c>
      <c r="J635" s="1"/>
      <c r="K635" s="1">
        <v>3.23</v>
      </c>
      <c r="L635" s="2">
        <v>46122</v>
      </c>
      <c r="M635" s="1" t="s">
        <v>2232</v>
      </c>
      <c r="N635" s="1">
        <v>0.64</v>
      </c>
      <c r="O635" s="1">
        <v>330</v>
      </c>
      <c r="P635" s="1">
        <v>5.8</v>
      </c>
      <c r="Q635" s="1" t="s">
        <v>107</v>
      </c>
      <c r="R635" s="1" t="s">
        <v>108</v>
      </c>
      <c r="S635" s="1" t="s">
        <v>790</v>
      </c>
      <c r="T635" s="1"/>
      <c r="U635" s="1" t="s">
        <v>110</v>
      </c>
      <c r="V635" s="1" t="s">
        <v>1678</v>
      </c>
      <c r="W635" s="1" t="s">
        <v>2233</v>
      </c>
      <c r="X635" s="1" t="s">
        <v>2230</v>
      </c>
      <c r="Y635" s="1" t="s">
        <v>2234</v>
      </c>
      <c r="Z635" s="1" t="s">
        <v>43</v>
      </c>
      <c r="AA635" s="1"/>
      <c r="AB635" s="1" t="s">
        <v>114</v>
      </c>
      <c r="AC635" s="1" t="s">
        <v>115</v>
      </c>
      <c r="AD635" s="1" t="s">
        <v>43</v>
      </c>
      <c r="AE635" s="1" t="s">
        <v>43</v>
      </c>
      <c r="AF635" s="1"/>
      <c r="AG635" s="1" t="s">
        <v>43</v>
      </c>
      <c r="AH635" s="2">
        <v>46143</v>
      </c>
    </row>
    <row r="636" spans="1:34" x14ac:dyDescent="0.3">
      <c r="A636" s="1">
        <v>7552401</v>
      </c>
      <c r="B636" s="1">
        <v>3.23</v>
      </c>
      <c r="C636" s="1">
        <v>5999</v>
      </c>
      <c r="D636" s="1">
        <v>6199</v>
      </c>
      <c r="E636" s="1" t="s">
        <v>43</v>
      </c>
      <c r="F636" s="1">
        <v>0</v>
      </c>
      <c r="G636" s="1" t="s">
        <v>1277</v>
      </c>
      <c r="H636" s="1" t="s">
        <v>723</v>
      </c>
      <c r="I636" s="1" t="str">
        <f>HYPERLINK("https://www.systembolaget.se/produkt/vin/latricieres-chambertin-grand-cru-7552401/","https://www.systembolaget.se/produkt/vin/latricieres-chambertin-grand-cru-7552401/")</f>
        <v>https://www.systembolaget.se/produkt/vin/latricieres-chambertin-grand-cru-7552401/</v>
      </c>
      <c r="J636" s="1">
        <v>3.23</v>
      </c>
      <c r="K636" s="1">
        <v>3.23</v>
      </c>
      <c r="L636" s="2">
        <v>45389</v>
      </c>
      <c r="M636" s="1" t="s">
        <v>2236</v>
      </c>
      <c r="N636" s="1">
        <v>0.02</v>
      </c>
      <c r="O636" s="1">
        <v>750</v>
      </c>
      <c r="P636" s="1">
        <v>13</v>
      </c>
      <c r="Q636" s="1" t="s">
        <v>38</v>
      </c>
      <c r="R636" s="1" t="s">
        <v>52</v>
      </c>
      <c r="S636" s="1"/>
      <c r="T636" s="1"/>
      <c r="U636" s="1" t="s">
        <v>101</v>
      </c>
      <c r="V636" s="1" t="s">
        <v>142</v>
      </c>
      <c r="W636" s="1" t="s">
        <v>725</v>
      </c>
      <c r="X636" s="1" t="s">
        <v>723</v>
      </c>
      <c r="Y636" s="1" t="s">
        <v>678</v>
      </c>
      <c r="Z636" s="1" t="s">
        <v>46</v>
      </c>
      <c r="AA636" s="1">
        <v>2020</v>
      </c>
      <c r="AB636" s="1" t="s">
        <v>44</v>
      </c>
      <c r="AC636" s="1" t="s">
        <v>45</v>
      </c>
      <c r="AD636" s="1" t="s">
        <v>43</v>
      </c>
      <c r="AE636" s="1" t="s">
        <v>43</v>
      </c>
      <c r="AF636" s="1"/>
      <c r="AG636" s="1" t="s">
        <v>43</v>
      </c>
      <c r="AH636" s="2">
        <v>45271</v>
      </c>
    </row>
    <row r="637" spans="1:34" x14ac:dyDescent="0.3">
      <c r="A637" s="1">
        <v>8882134</v>
      </c>
      <c r="B637" s="1">
        <v>3.2</v>
      </c>
      <c r="C637" s="1">
        <v>169.4</v>
      </c>
      <c r="D637" s="1">
        <v>175</v>
      </c>
      <c r="E637" s="1" t="s">
        <v>459</v>
      </c>
      <c r="F637" s="1">
        <v>0</v>
      </c>
      <c r="G637" s="1" t="s">
        <v>2237</v>
      </c>
      <c r="H637" s="1" t="s">
        <v>2238</v>
      </c>
      <c r="I637" s="1" t="str">
        <f>HYPERLINK("https://www.systembolaget.se/produkt/ol/great-notion-brewing-8882134/","https://www.systembolaget.se/produkt/ol/great-notion-brewing-8882134/")</f>
        <v>https://www.systembolaget.se/produkt/ol/great-notion-brewing-8882134/</v>
      </c>
      <c r="J637" s="1"/>
      <c r="K637" s="1">
        <v>3.2</v>
      </c>
      <c r="L637" s="2">
        <v>46203</v>
      </c>
      <c r="M637" s="1" t="s">
        <v>2239</v>
      </c>
      <c r="N637" s="1">
        <v>0.3</v>
      </c>
      <c r="O637" s="1">
        <v>473</v>
      </c>
      <c r="P637" s="1">
        <v>10.9</v>
      </c>
      <c r="Q637" s="1" t="s">
        <v>107</v>
      </c>
      <c r="R637" s="1" t="s">
        <v>712</v>
      </c>
      <c r="S637" s="1" t="s">
        <v>713</v>
      </c>
      <c r="T637" s="1"/>
      <c r="U637" s="1" t="s">
        <v>73</v>
      </c>
      <c r="V637" s="1"/>
      <c r="W637" s="1"/>
      <c r="X637" s="1" t="s">
        <v>2237</v>
      </c>
      <c r="Y637" s="1" t="s">
        <v>2240</v>
      </c>
      <c r="Z637" s="1" t="s">
        <v>43</v>
      </c>
      <c r="AA637" s="1"/>
      <c r="AB637" s="1" t="s">
        <v>114</v>
      </c>
      <c r="AC637" s="1" t="s">
        <v>45</v>
      </c>
      <c r="AD637" s="1" t="s">
        <v>43</v>
      </c>
      <c r="AE637" s="1" t="s">
        <v>43</v>
      </c>
      <c r="AF637" s="1"/>
      <c r="AG637" s="1" t="s">
        <v>43</v>
      </c>
      <c r="AH637" s="2">
        <v>46210</v>
      </c>
    </row>
    <row r="638" spans="1:34" x14ac:dyDescent="0.3">
      <c r="A638" s="1">
        <v>7704301</v>
      </c>
      <c r="B638" s="1">
        <v>3.13</v>
      </c>
      <c r="C638" s="1">
        <v>279</v>
      </c>
      <c r="D638" s="1">
        <v>288</v>
      </c>
      <c r="E638" s="1" t="s">
        <v>43</v>
      </c>
      <c r="F638" s="1">
        <v>0</v>
      </c>
      <c r="G638" s="1" t="s">
        <v>2136</v>
      </c>
      <c r="H638" s="1" t="s">
        <v>2241</v>
      </c>
      <c r="I638" s="1" t="str">
        <f>HYPERLINK("https://www.systembolaget.se/produkt/vin/charles-fox-7704301/","https://www.systembolaget.se/produkt/vin/charles-fox-7704301/")</f>
        <v>https://www.systembolaget.se/produkt/vin/charles-fox-7704301/</v>
      </c>
      <c r="J638" s="1">
        <v>-7.72</v>
      </c>
      <c r="K638" s="1">
        <v>3.13</v>
      </c>
      <c r="L638" s="2">
        <v>45389</v>
      </c>
      <c r="M638" s="1" t="s">
        <v>2242</v>
      </c>
      <c r="N638" s="1">
        <v>0.34</v>
      </c>
      <c r="O638" s="1">
        <v>750</v>
      </c>
      <c r="P638" s="1">
        <v>12.5</v>
      </c>
      <c r="Q638" s="1" t="s">
        <v>38</v>
      </c>
      <c r="R638" s="1" t="s">
        <v>61</v>
      </c>
      <c r="S638" s="1" t="s">
        <v>68</v>
      </c>
      <c r="T638" s="1"/>
      <c r="U638" s="1" t="s">
        <v>289</v>
      </c>
      <c r="V638" s="1" t="s">
        <v>290</v>
      </c>
      <c r="W638" s="1" t="s">
        <v>1983</v>
      </c>
      <c r="X638" s="1" t="s">
        <v>2139</v>
      </c>
      <c r="Y638" s="1" t="s">
        <v>1956</v>
      </c>
      <c r="Z638" s="1" t="s">
        <v>43</v>
      </c>
      <c r="AA638" s="1"/>
      <c r="AB638" s="1" t="s">
        <v>44</v>
      </c>
      <c r="AC638" s="1" t="s">
        <v>45</v>
      </c>
      <c r="AD638" s="1" t="s">
        <v>43</v>
      </c>
      <c r="AE638" s="1" t="s">
        <v>43</v>
      </c>
      <c r="AF638" s="1"/>
      <c r="AG638" s="1" t="s">
        <v>43</v>
      </c>
      <c r="AH638" s="2">
        <v>43907</v>
      </c>
    </row>
    <row r="639" spans="1:34" x14ac:dyDescent="0.3">
      <c r="A639" s="1">
        <v>8281101</v>
      </c>
      <c r="B639" s="1">
        <v>3.11</v>
      </c>
      <c r="C639" s="1">
        <v>1215</v>
      </c>
      <c r="D639" s="1">
        <v>1254</v>
      </c>
      <c r="E639" s="1" t="s">
        <v>43</v>
      </c>
      <c r="F639" s="1">
        <v>0</v>
      </c>
      <c r="G639" s="1" t="s">
        <v>2243</v>
      </c>
      <c r="H639" s="1" t="s">
        <v>2244</v>
      </c>
      <c r="I639" s="1" t="str">
        <f>HYPERLINK("https://www.systembolaget.se/produkt/sprit/young-spirits-company-ltd-8281101/","https://www.systembolaget.se/produkt/sprit/young-spirits-company-ltd-8281101/")</f>
        <v>https://www.systembolaget.se/produkt/sprit/young-spirits-company-ltd-8281101/</v>
      </c>
      <c r="J639" s="1">
        <v>2.96</v>
      </c>
      <c r="K639" s="1">
        <v>3.11</v>
      </c>
      <c r="L639" s="2">
        <v>45776</v>
      </c>
      <c r="M639" s="1" t="s">
        <v>2245</v>
      </c>
      <c r="N639" s="1">
        <v>0.32</v>
      </c>
      <c r="O639" s="1">
        <v>700</v>
      </c>
      <c r="P639" s="1">
        <v>55.7</v>
      </c>
      <c r="Q639" s="1" t="s">
        <v>308</v>
      </c>
      <c r="R639" s="1" t="s">
        <v>309</v>
      </c>
      <c r="S639" s="1" t="s">
        <v>318</v>
      </c>
      <c r="T639" s="1"/>
      <c r="U639" s="1" t="s">
        <v>253</v>
      </c>
      <c r="V639" s="1" t="s">
        <v>254</v>
      </c>
      <c r="W639" s="1" t="s">
        <v>721</v>
      </c>
      <c r="X639" s="1" t="s">
        <v>2243</v>
      </c>
      <c r="Y639" s="1" t="s">
        <v>2031</v>
      </c>
      <c r="Z639" s="1" t="s">
        <v>43</v>
      </c>
      <c r="AA639" s="1"/>
      <c r="AB639" s="1" t="s">
        <v>44</v>
      </c>
      <c r="AC639" s="1" t="s">
        <v>45</v>
      </c>
      <c r="AD639" s="1" t="s">
        <v>43</v>
      </c>
      <c r="AE639" s="1" t="s">
        <v>43</v>
      </c>
      <c r="AF639" s="1"/>
      <c r="AG639" s="1" t="s">
        <v>43</v>
      </c>
      <c r="AH639" s="2">
        <v>45783</v>
      </c>
    </row>
    <row r="640" spans="1:34" x14ac:dyDescent="0.3">
      <c r="A640" s="1">
        <v>3127203</v>
      </c>
      <c r="B640" s="1">
        <v>3.1</v>
      </c>
      <c r="C640" s="1">
        <v>21.9</v>
      </c>
      <c r="D640" s="1">
        <v>22.6</v>
      </c>
      <c r="E640" s="1" t="s">
        <v>43</v>
      </c>
      <c r="F640" s="1">
        <v>0</v>
      </c>
      <c r="G640" s="1" t="s">
        <v>1636</v>
      </c>
      <c r="H640" s="1" t="s">
        <v>2246</v>
      </c>
      <c r="I640" s="1" t="str">
        <f>HYPERLINK("https://www.systembolaget.se/produkt/ol/varmdo-bryggeri-3127203/","https://www.systembolaget.se/produkt/ol/varmdo-bryggeri-3127203/")</f>
        <v>https://www.systembolaget.se/produkt/ol/varmdo-bryggeri-3127203/</v>
      </c>
      <c r="J640" s="1"/>
      <c r="K640" s="1">
        <v>3.1</v>
      </c>
      <c r="L640" s="2">
        <v>46125</v>
      </c>
      <c r="M640" s="1" t="s">
        <v>2247</v>
      </c>
      <c r="N640" s="1">
        <v>0.69</v>
      </c>
      <c r="O640" s="1">
        <v>330</v>
      </c>
      <c r="P640" s="1">
        <v>4.5999999999999996</v>
      </c>
      <c r="Q640" s="1" t="s">
        <v>107</v>
      </c>
      <c r="R640" s="1" t="s">
        <v>134</v>
      </c>
      <c r="S640" s="1" t="s">
        <v>885</v>
      </c>
      <c r="T640" s="1"/>
      <c r="U640" s="1" t="s">
        <v>110</v>
      </c>
      <c r="V640" s="1" t="s">
        <v>380</v>
      </c>
      <c r="W640" s="1" t="s">
        <v>1635</v>
      </c>
      <c r="X640" s="1" t="s">
        <v>1636</v>
      </c>
      <c r="Y640" s="1" t="s">
        <v>2248</v>
      </c>
      <c r="Z640" s="1" t="s">
        <v>43</v>
      </c>
      <c r="AA640" s="1"/>
      <c r="AB640" s="1" t="s">
        <v>44</v>
      </c>
      <c r="AC640" s="1" t="s">
        <v>115</v>
      </c>
      <c r="AD640" s="1" t="s">
        <v>43</v>
      </c>
      <c r="AE640" s="1" t="s">
        <v>43</v>
      </c>
      <c r="AF640" s="1"/>
      <c r="AG640" s="1" t="s">
        <v>43</v>
      </c>
      <c r="AH640" s="2">
        <v>46146</v>
      </c>
    </row>
    <row r="641" spans="1:34" x14ac:dyDescent="0.3">
      <c r="A641" s="1">
        <v>3245302</v>
      </c>
      <c r="B641" s="1">
        <v>3.06</v>
      </c>
      <c r="C641" s="1">
        <v>349</v>
      </c>
      <c r="D641" s="1">
        <v>360</v>
      </c>
      <c r="E641" s="1" t="s">
        <v>551</v>
      </c>
      <c r="F641" s="1">
        <v>0</v>
      </c>
      <c r="G641" s="1" t="s">
        <v>2106</v>
      </c>
      <c r="H641" s="1" t="s">
        <v>2249</v>
      </c>
      <c r="I641" s="1" t="str">
        <f>HYPERLINK("https://www.systembolaget.se/produkt/sprit/wet-city-spirits-3245302/","https://www.systembolaget.se/produkt/sprit/wet-city-spirits-3245302/")</f>
        <v>https://www.systembolaget.se/produkt/sprit/wet-city-spirits-3245302/</v>
      </c>
      <c r="J641" s="1"/>
      <c r="K641" s="1">
        <v>3.06</v>
      </c>
      <c r="L641" s="2">
        <v>46062</v>
      </c>
      <c r="M641" s="1" t="s">
        <v>2250</v>
      </c>
      <c r="N641" s="1">
        <v>0.64</v>
      </c>
      <c r="O641" s="1">
        <v>500</v>
      </c>
      <c r="P641" s="1">
        <v>45</v>
      </c>
      <c r="Q641" s="1" t="s">
        <v>308</v>
      </c>
      <c r="R641" s="1" t="s">
        <v>487</v>
      </c>
      <c r="S641" s="1" t="s">
        <v>488</v>
      </c>
      <c r="T641" s="1"/>
      <c r="U641" s="1" t="s">
        <v>110</v>
      </c>
      <c r="V641" s="1" t="s">
        <v>136</v>
      </c>
      <c r="W641" s="1" t="s">
        <v>137</v>
      </c>
      <c r="X641" s="1" t="s">
        <v>1461</v>
      </c>
      <c r="Y641" s="1" t="s">
        <v>1464</v>
      </c>
      <c r="Z641" s="1" t="s">
        <v>46</v>
      </c>
      <c r="AA641" s="1"/>
      <c r="AB641" s="1" t="s">
        <v>44</v>
      </c>
      <c r="AC641" s="1" t="s">
        <v>115</v>
      </c>
      <c r="AD641" s="1" t="s">
        <v>43</v>
      </c>
      <c r="AE641" s="1" t="s">
        <v>43</v>
      </c>
      <c r="AF641" s="1">
        <v>2</v>
      </c>
      <c r="AG641" s="1" t="s">
        <v>43</v>
      </c>
      <c r="AH641" s="2">
        <v>46083</v>
      </c>
    </row>
    <row r="642" spans="1:34" x14ac:dyDescent="0.3">
      <c r="A642" s="1">
        <v>3721915</v>
      </c>
      <c r="B642" s="1">
        <v>3.06</v>
      </c>
      <c r="C642" s="1">
        <v>34.9</v>
      </c>
      <c r="D642" s="1">
        <v>36</v>
      </c>
      <c r="E642" s="1" t="s">
        <v>43</v>
      </c>
      <c r="F642" s="1">
        <v>24</v>
      </c>
      <c r="G642" s="1" t="s">
        <v>709</v>
      </c>
      <c r="H642" s="1" t="s">
        <v>2251</v>
      </c>
      <c r="I642" s="1" t="str">
        <f>HYPERLINK("https://www.systembolaget.se/produkt/ol/dugges-3721915/","https://www.systembolaget.se/produkt/ol/dugges-3721915/")</f>
        <v>https://www.systembolaget.se/produkt/ol/dugges-3721915/</v>
      </c>
      <c r="J642" s="1">
        <v>3.06</v>
      </c>
      <c r="K642" s="1">
        <v>3.06</v>
      </c>
      <c r="L642" s="2">
        <v>45507</v>
      </c>
      <c r="M642" s="1" t="s">
        <v>2252</v>
      </c>
      <c r="N642" s="1">
        <v>0.43</v>
      </c>
      <c r="O642" s="1">
        <v>330</v>
      </c>
      <c r="P642" s="1">
        <v>4.5</v>
      </c>
      <c r="Q642" s="1" t="s">
        <v>107</v>
      </c>
      <c r="R642" s="1" t="s">
        <v>207</v>
      </c>
      <c r="S642" s="1" t="s">
        <v>208</v>
      </c>
      <c r="T642" s="1"/>
      <c r="U642" s="1" t="s">
        <v>110</v>
      </c>
      <c r="V642" s="1"/>
      <c r="W642" s="1"/>
      <c r="X642" s="1" t="s">
        <v>714</v>
      </c>
      <c r="Y642" s="1" t="s">
        <v>715</v>
      </c>
      <c r="Z642" s="1" t="s">
        <v>43</v>
      </c>
      <c r="AA642" s="1"/>
      <c r="AB642" s="1" t="s">
        <v>114</v>
      </c>
      <c r="AC642" s="1" t="s">
        <v>45</v>
      </c>
      <c r="AD642" s="1" t="s">
        <v>43</v>
      </c>
      <c r="AE642" s="1" t="s">
        <v>43</v>
      </c>
      <c r="AF642" s="1"/>
      <c r="AG642" s="1" t="s">
        <v>43</v>
      </c>
      <c r="AH642" s="2">
        <v>44627</v>
      </c>
    </row>
    <row r="643" spans="1:34" x14ac:dyDescent="0.3">
      <c r="A643" s="1">
        <v>5989701</v>
      </c>
      <c r="B643" s="1">
        <v>3.04</v>
      </c>
      <c r="C643" s="1">
        <v>319</v>
      </c>
      <c r="D643" s="1">
        <v>329</v>
      </c>
      <c r="E643" s="1" t="s">
        <v>43</v>
      </c>
      <c r="F643" s="1">
        <v>0</v>
      </c>
      <c r="G643" s="1" t="s">
        <v>2253</v>
      </c>
      <c r="H643" s="1" t="s">
        <v>1840</v>
      </c>
      <c r="I643" s="1" t="str">
        <f>HYPERLINK("https://www.systembolaget.se/produkt/vin/sabiona-sylvaner-5989701/","https://www.systembolaget.se/produkt/vin/sabiona-sylvaner-5989701/")</f>
        <v>https://www.systembolaget.se/produkt/vin/sabiona-sylvaner-5989701/</v>
      </c>
      <c r="J643" s="1">
        <v>3.04</v>
      </c>
      <c r="K643" s="1">
        <v>3.04</v>
      </c>
      <c r="L643" s="2">
        <v>45389</v>
      </c>
      <c r="M643" s="1" t="s">
        <v>2254</v>
      </c>
      <c r="N643" s="1">
        <v>0.33</v>
      </c>
      <c r="O643" s="1">
        <v>750</v>
      </c>
      <c r="P643" s="1">
        <v>14</v>
      </c>
      <c r="Q643" s="1" t="s">
        <v>38</v>
      </c>
      <c r="R643" s="1" t="s">
        <v>39</v>
      </c>
      <c r="S643" s="1"/>
      <c r="T643" s="1"/>
      <c r="U643" s="1" t="s">
        <v>53</v>
      </c>
      <c r="V643" s="1" t="s">
        <v>1842</v>
      </c>
      <c r="W643" s="1" t="s">
        <v>1843</v>
      </c>
      <c r="X643" s="1" t="s">
        <v>1840</v>
      </c>
      <c r="Y643" s="1" t="s">
        <v>64</v>
      </c>
      <c r="Z643" s="1" t="s">
        <v>43</v>
      </c>
      <c r="AA643" s="1">
        <v>2019</v>
      </c>
      <c r="AB643" s="1" t="s">
        <v>44</v>
      </c>
      <c r="AC643" s="1" t="s">
        <v>45</v>
      </c>
      <c r="AD643" s="1" t="s">
        <v>43</v>
      </c>
      <c r="AE643" s="1" t="s">
        <v>43</v>
      </c>
      <c r="AF643" s="1"/>
      <c r="AG643" s="1" t="s">
        <v>43</v>
      </c>
      <c r="AH643" s="2">
        <v>44951</v>
      </c>
    </row>
    <row r="644" spans="1:34" x14ac:dyDescent="0.3">
      <c r="A644" s="1">
        <v>7888001</v>
      </c>
      <c r="B644" s="1">
        <v>3.02</v>
      </c>
      <c r="C644" s="1">
        <v>289</v>
      </c>
      <c r="D644" s="1">
        <v>298</v>
      </c>
      <c r="E644" s="1" t="s">
        <v>43</v>
      </c>
      <c r="F644" s="1">
        <v>0</v>
      </c>
      <c r="G644" s="1" t="s">
        <v>2136</v>
      </c>
      <c r="H644" s="1" t="s">
        <v>2255</v>
      </c>
      <c r="I644" s="1" t="str">
        <f>HYPERLINK("https://www.systembolaget.se/produkt/vin/charles-fox-7888001/","https://www.systembolaget.se/produkt/vin/charles-fox-7888001/")</f>
        <v>https://www.systembolaget.se/produkt/vin/charles-fox-7888001/</v>
      </c>
      <c r="J644" s="1">
        <v>-7.43</v>
      </c>
      <c r="K644" s="1">
        <v>3.02</v>
      </c>
      <c r="L644" s="2">
        <v>45513</v>
      </c>
      <c r="M644" s="1" t="s">
        <v>2256</v>
      </c>
      <c r="N644" s="1">
        <v>0.32</v>
      </c>
      <c r="O644" s="1">
        <v>750</v>
      </c>
      <c r="P644" s="1">
        <v>12.5</v>
      </c>
      <c r="Q644" s="1" t="s">
        <v>38</v>
      </c>
      <c r="R644" s="1" t="s">
        <v>61</v>
      </c>
      <c r="S644" s="1" t="s">
        <v>62</v>
      </c>
      <c r="T644" s="1"/>
      <c r="U644" s="1" t="s">
        <v>289</v>
      </c>
      <c r="V644" s="1" t="s">
        <v>290</v>
      </c>
      <c r="W644" s="1" t="s">
        <v>1983</v>
      </c>
      <c r="X644" s="1" t="s">
        <v>2139</v>
      </c>
      <c r="Y644" s="1" t="s">
        <v>1956</v>
      </c>
      <c r="Z644" s="1" t="s">
        <v>43</v>
      </c>
      <c r="AA644" s="1"/>
      <c r="AB644" s="1" t="s">
        <v>44</v>
      </c>
      <c r="AC644" s="1" t="s">
        <v>45</v>
      </c>
      <c r="AD644" s="1" t="s">
        <v>43</v>
      </c>
      <c r="AE644" s="1" t="s">
        <v>43</v>
      </c>
      <c r="AF644" s="1"/>
      <c r="AG644" s="1" t="s">
        <v>43</v>
      </c>
      <c r="AH644" s="2">
        <v>44104</v>
      </c>
    </row>
    <row r="645" spans="1:34" x14ac:dyDescent="0.3">
      <c r="A645" s="1">
        <v>3832802</v>
      </c>
      <c r="B645" s="1">
        <v>3.01</v>
      </c>
      <c r="C645" s="1">
        <v>290</v>
      </c>
      <c r="D645" s="1">
        <v>299</v>
      </c>
      <c r="E645" s="1" t="s">
        <v>43</v>
      </c>
      <c r="F645" s="1">
        <v>0</v>
      </c>
      <c r="G645" s="1" t="s">
        <v>2257</v>
      </c>
      <c r="H645" s="1" t="s">
        <v>2258</v>
      </c>
      <c r="I645" s="1" t="str">
        <f>HYPERLINK("https://www.systembolaget.se/produkt/sprit/bluegrass-bathtub-gin-3832802/","https://www.systembolaget.se/produkt/sprit/bluegrass-bathtub-gin-3832802/")</f>
        <v>https://www.systembolaget.se/produkt/sprit/bluegrass-bathtub-gin-3832802/</v>
      </c>
      <c r="J645" s="1">
        <v>3.01</v>
      </c>
      <c r="K645" s="1">
        <v>3.01</v>
      </c>
      <c r="L645" s="2">
        <v>45444</v>
      </c>
      <c r="M645" s="1" t="s">
        <v>2259</v>
      </c>
      <c r="N645" s="1">
        <v>0.72</v>
      </c>
      <c r="O645" s="1">
        <v>500</v>
      </c>
      <c r="P645" s="1">
        <v>42</v>
      </c>
      <c r="Q645" s="1" t="s">
        <v>308</v>
      </c>
      <c r="R645" s="1" t="s">
        <v>487</v>
      </c>
      <c r="S645" s="1" t="s">
        <v>488</v>
      </c>
      <c r="T645" s="1"/>
      <c r="U645" s="1" t="s">
        <v>110</v>
      </c>
      <c r="V645" s="1" t="s">
        <v>136</v>
      </c>
      <c r="W645" s="1" t="s">
        <v>2011</v>
      </c>
      <c r="X645" s="1" t="s">
        <v>2258</v>
      </c>
      <c r="Y645" s="1" t="s">
        <v>2260</v>
      </c>
      <c r="Z645" s="1" t="s">
        <v>43</v>
      </c>
      <c r="AA645" s="1"/>
      <c r="AB645" s="1" t="s">
        <v>44</v>
      </c>
      <c r="AC645" s="1" t="s">
        <v>115</v>
      </c>
      <c r="AD645" s="1" t="s">
        <v>43</v>
      </c>
      <c r="AE645" s="1" t="s">
        <v>43</v>
      </c>
      <c r="AF645" s="1">
        <v>2</v>
      </c>
      <c r="AG645" s="1" t="s">
        <v>43</v>
      </c>
      <c r="AH645" s="2">
        <v>44837</v>
      </c>
    </row>
    <row r="646" spans="1:34" x14ac:dyDescent="0.3">
      <c r="A646" s="1">
        <v>3854302</v>
      </c>
      <c r="B646" s="1">
        <v>3.01</v>
      </c>
      <c r="C646" s="1">
        <v>290</v>
      </c>
      <c r="D646" s="1">
        <v>299</v>
      </c>
      <c r="E646" s="1" t="s">
        <v>43</v>
      </c>
      <c r="F646" s="1">
        <v>0</v>
      </c>
      <c r="G646" s="1" t="s">
        <v>2261</v>
      </c>
      <c r="H646" s="1" t="s">
        <v>2258</v>
      </c>
      <c r="I646" s="1" t="str">
        <f>HYPERLINK("https://www.systembolaget.se/produkt/sprit/pineapple-weed-bathtub-gin-3854302/","https://www.systembolaget.se/produkt/sprit/pineapple-weed-bathtub-gin-3854302/")</f>
        <v>https://www.systembolaget.se/produkt/sprit/pineapple-weed-bathtub-gin-3854302/</v>
      </c>
      <c r="J646" s="1">
        <v>3.01</v>
      </c>
      <c r="K646" s="1">
        <v>3.01</v>
      </c>
      <c r="L646" s="2">
        <v>45444</v>
      </c>
      <c r="M646" s="1" t="s">
        <v>2259</v>
      </c>
      <c r="N646" s="1">
        <v>0.72</v>
      </c>
      <c r="O646" s="1">
        <v>500</v>
      </c>
      <c r="P646" s="1">
        <v>42</v>
      </c>
      <c r="Q646" s="1" t="s">
        <v>308</v>
      </c>
      <c r="R646" s="1" t="s">
        <v>487</v>
      </c>
      <c r="S646" s="1" t="s">
        <v>488</v>
      </c>
      <c r="T646" s="1"/>
      <c r="U646" s="1" t="s">
        <v>110</v>
      </c>
      <c r="V646" s="1" t="s">
        <v>136</v>
      </c>
      <c r="W646" s="1" t="s">
        <v>2011</v>
      </c>
      <c r="X646" s="1" t="s">
        <v>2258</v>
      </c>
      <c r="Y646" s="1" t="s">
        <v>2260</v>
      </c>
      <c r="Z646" s="1" t="s">
        <v>43</v>
      </c>
      <c r="AA646" s="1"/>
      <c r="AB646" s="1" t="s">
        <v>44</v>
      </c>
      <c r="AC646" s="1" t="s">
        <v>115</v>
      </c>
      <c r="AD646" s="1" t="s">
        <v>43</v>
      </c>
      <c r="AE646" s="1" t="s">
        <v>43</v>
      </c>
      <c r="AF646" s="1">
        <v>2</v>
      </c>
      <c r="AG646" s="1" t="s">
        <v>43</v>
      </c>
      <c r="AH646" s="2">
        <v>44900</v>
      </c>
    </row>
    <row r="647" spans="1:34" x14ac:dyDescent="0.3">
      <c r="A647" s="1">
        <v>3887602</v>
      </c>
      <c r="B647" s="1">
        <v>3.01</v>
      </c>
      <c r="C647" s="1">
        <v>290</v>
      </c>
      <c r="D647" s="1">
        <v>299</v>
      </c>
      <c r="E647" s="1" t="s">
        <v>43</v>
      </c>
      <c r="F647" s="1">
        <v>0</v>
      </c>
      <c r="G647" s="1" t="s">
        <v>2262</v>
      </c>
      <c r="H647" s="1" t="s">
        <v>2258</v>
      </c>
      <c r="I647" s="1" t="str">
        <f>HYPERLINK("https://www.systembolaget.se/produkt/sprit/sichuan-bathtub-gin-3887602/","https://www.systembolaget.se/produkt/sprit/sichuan-bathtub-gin-3887602/")</f>
        <v>https://www.systembolaget.se/produkt/sprit/sichuan-bathtub-gin-3887602/</v>
      </c>
      <c r="J647" s="1">
        <v>3.01</v>
      </c>
      <c r="K647" s="1">
        <v>3.01</v>
      </c>
      <c r="L647" s="2">
        <v>45444</v>
      </c>
      <c r="M647" s="1" t="s">
        <v>2259</v>
      </c>
      <c r="N647" s="1">
        <v>0.72</v>
      </c>
      <c r="O647" s="1">
        <v>500</v>
      </c>
      <c r="P647" s="1">
        <v>42</v>
      </c>
      <c r="Q647" s="1" t="s">
        <v>308</v>
      </c>
      <c r="R647" s="1" t="s">
        <v>487</v>
      </c>
      <c r="S647" s="1" t="s">
        <v>488</v>
      </c>
      <c r="T647" s="1"/>
      <c r="U647" s="1" t="s">
        <v>110</v>
      </c>
      <c r="V647" s="1" t="s">
        <v>136</v>
      </c>
      <c r="W647" s="1" t="s">
        <v>2011</v>
      </c>
      <c r="X647" s="1" t="s">
        <v>2258</v>
      </c>
      <c r="Y647" s="1" t="s">
        <v>2260</v>
      </c>
      <c r="Z647" s="1" t="s">
        <v>43</v>
      </c>
      <c r="AA647" s="1"/>
      <c r="AB647" s="1" t="s">
        <v>44</v>
      </c>
      <c r="AC647" s="1" t="s">
        <v>115</v>
      </c>
      <c r="AD647" s="1" t="s">
        <v>43</v>
      </c>
      <c r="AE647" s="1" t="s">
        <v>43</v>
      </c>
      <c r="AF647" s="1">
        <v>2</v>
      </c>
      <c r="AG647" s="1" t="s">
        <v>43</v>
      </c>
      <c r="AH647" s="2">
        <v>45082</v>
      </c>
    </row>
    <row r="648" spans="1:34" x14ac:dyDescent="0.3">
      <c r="A648" s="1">
        <v>5249301</v>
      </c>
      <c r="B648" s="1">
        <v>2.99</v>
      </c>
      <c r="C648" s="1">
        <v>6199</v>
      </c>
      <c r="D648" s="1">
        <v>6390</v>
      </c>
      <c r="E648" s="1" t="s">
        <v>43</v>
      </c>
      <c r="F648" s="1">
        <v>0</v>
      </c>
      <c r="G648" s="1" t="s">
        <v>2263</v>
      </c>
      <c r="H648" s="1" t="s">
        <v>2264</v>
      </c>
      <c r="I648" s="1" t="str">
        <f>HYPERLINK("https://www.systembolaget.se/produkt/sprit/glen-scotia-5249301/","https://www.systembolaget.se/produkt/sprit/glen-scotia-5249301/")</f>
        <v>https://www.systembolaget.se/produkt/sprit/glen-scotia-5249301/</v>
      </c>
      <c r="J648" s="1">
        <v>2.99</v>
      </c>
      <c r="K648" s="1">
        <v>2.99</v>
      </c>
      <c r="L648" s="2">
        <v>45389</v>
      </c>
      <c r="M648" s="1" t="s">
        <v>2265</v>
      </c>
      <c r="N648" s="1">
        <v>0.06</v>
      </c>
      <c r="O648" s="1">
        <v>700</v>
      </c>
      <c r="P648" s="1">
        <v>48.8</v>
      </c>
      <c r="Q648" s="1" t="s">
        <v>308</v>
      </c>
      <c r="R648" s="1" t="s">
        <v>309</v>
      </c>
      <c r="S648" s="1" t="s">
        <v>318</v>
      </c>
      <c r="T648" s="1"/>
      <c r="U648" s="1" t="s">
        <v>253</v>
      </c>
      <c r="V648" s="1" t="s">
        <v>254</v>
      </c>
      <c r="W648" s="1"/>
      <c r="X648" s="1" t="s">
        <v>632</v>
      </c>
      <c r="Y648" s="1" t="s">
        <v>261</v>
      </c>
      <c r="Z648" s="1" t="s">
        <v>43</v>
      </c>
      <c r="AA648" s="1"/>
      <c r="AB648" s="1" t="s">
        <v>44</v>
      </c>
      <c r="AC648" s="1" t="s">
        <v>45</v>
      </c>
      <c r="AD648" s="1" t="s">
        <v>43</v>
      </c>
      <c r="AE648" s="1" t="s">
        <v>43</v>
      </c>
      <c r="AF648" s="1"/>
      <c r="AG648" s="1" t="s">
        <v>43</v>
      </c>
      <c r="AH648" s="2">
        <v>44377</v>
      </c>
    </row>
    <row r="649" spans="1:34" x14ac:dyDescent="0.3">
      <c r="A649" s="1">
        <v>8330001</v>
      </c>
      <c r="B649" s="1">
        <v>2.99</v>
      </c>
      <c r="C649" s="1">
        <v>649</v>
      </c>
      <c r="D649" s="1">
        <v>669</v>
      </c>
      <c r="E649" s="1" t="s">
        <v>43</v>
      </c>
      <c r="F649" s="1">
        <v>0</v>
      </c>
      <c r="G649" s="1" t="s">
        <v>2266</v>
      </c>
      <c r="H649" s="1" t="s">
        <v>2267</v>
      </c>
      <c r="I649" s="1" t="str">
        <f>HYPERLINK("https://www.systembolaget.se/produkt/sprit/aberlour-8330001/","https://www.systembolaget.se/produkt/sprit/aberlour-8330001/")</f>
        <v>https://www.systembolaget.se/produkt/sprit/aberlour-8330001/</v>
      </c>
      <c r="J649" s="1">
        <v>2.99</v>
      </c>
      <c r="K649" s="1">
        <v>2.99</v>
      </c>
      <c r="L649" s="2">
        <v>45389</v>
      </c>
      <c r="M649" s="1" t="s">
        <v>2268</v>
      </c>
      <c r="N649" s="1">
        <v>0.52</v>
      </c>
      <c r="O649" s="1">
        <v>700</v>
      </c>
      <c r="P649" s="1">
        <v>48</v>
      </c>
      <c r="Q649" s="1" t="s">
        <v>308</v>
      </c>
      <c r="R649" s="1" t="s">
        <v>309</v>
      </c>
      <c r="S649" s="1" t="s">
        <v>318</v>
      </c>
      <c r="T649" s="1"/>
      <c r="U649" s="1" t="s">
        <v>253</v>
      </c>
      <c r="V649" s="1" t="s">
        <v>254</v>
      </c>
      <c r="W649" s="1" t="s">
        <v>721</v>
      </c>
      <c r="X649" s="1" t="s">
        <v>2269</v>
      </c>
      <c r="Y649" s="1" t="s">
        <v>313</v>
      </c>
      <c r="Z649" s="1" t="s">
        <v>43</v>
      </c>
      <c r="AA649" s="1"/>
      <c r="AB649" s="1" t="s">
        <v>44</v>
      </c>
      <c r="AC649" s="1" t="s">
        <v>90</v>
      </c>
      <c r="AD649" s="1" t="s">
        <v>43</v>
      </c>
      <c r="AE649" s="1" t="s">
        <v>43</v>
      </c>
      <c r="AF649" s="1">
        <v>2</v>
      </c>
      <c r="AG649" s="1" t="s">
        <v>43</v>
      </c>
      <c r="AH649" s="2">
        <v>45170</v>
      </c>
    </row>
    <row r="650" spans="1:34" x14ac:dyDescent="0.3">
      <c r="A650" s="1">
        <v>146315</v>
      </c>
      <c r="B650" s="1">
        <v>2.96</v>
      </c>
      <c r="C650" s="1">
        <v>16.399999999999999</v>
      </c>
      <c r="D650" s="1">
        <v>16.899999999999999</v>
      </c>
      <c r="E650" s="1" t="s">
        <v>43</v>
      </c>
      <c r="F650" s="1">
        <v>0</v>
      </c>
      <c r="G650" s="1" t="s">
        <v>2270</v>
      </c>
      <c r="H650" s="1" t="s">
        <v>1067</v>
      </c>
      <c r="I650" s="1" t="str">
        <f>HYPERLINK("https://www.systembolaget.se/produkt/ol/s-t-eriks-146315/","https://www.systembolaget.se/produkt/ol/s-t-eriks-146315/")</f>
        <v>https://www.systembolaget.se/produkt/ol/s-t-eriks-146315/</v>
      </c>
      <c r="J650" s="1">
        <v>2.96</v>
      </c>
      <c r="K650" s="1">
        <v>2.96</v>
      </c>
      <c r="L650" s="2">
        <v>45389</v>
      </c>
      <c r="M650" s="1" t="s">
        <v>2271</v>
      </c>
      <c r="N650" s="1">
        <v>1.07</v>
      </c>
      <c r="O650" s="1">
        <v>330</v>
      </c>
      <c r="P650" s="1">
        <v>5.3</v>
      </c>
      <c r="Q650" s="1" t="s">
        <v>107</v>
      </c>
      <c r="R650" s="1" t="s">
        <v>108</v>
      </c>
      <c r="S650" s="1" t="s">
        <v>790</v>
      </c>
      <c r="T650" s="1"/>
      <c r="U650" s="1" t="s">
        <v>110</v>
      </c>
      <c r="V650" s="1"/>
      <c r="W650" s="1"/>
      <c r="X650" s="1" t="s">
        <v>2272</v>
      </c>
      <c r="Y650" s="1" t="s">
        <v>1337</v>
      </c>
      <c r="Z650" s="1" t="s">
        <v>43</v>
      </c>
      <c r="AA650" s="1"/>
      <c r="AB650" s="1" t="s">
        <v>114</v>
      </c>
      <c r="AC650" s="1" t="s">
        <v>90</v>
      </c>
      <c r="AD650" s="1" t="s">
        <v>43</v>
      </c>
      <c r="AE650" s="1" t="s">
        <v>43</v>
      </c>
      <c r="AF650" s="1"/>
      <c r="AG650" s="1" t="s">
        <v>43</v>
      </c>
      <c r="AH650" s="2">
        <v>45355</v>
      </c>
    </row>
    <row r="651" spans="1:34" x14ac:dyDescent="0.3">
      <c r="A651" s="1">
        <v>146335</v>
      </c>
      <c r="B651" s="1">
        <v>2.96</v>
      </c>
      <c r="C651" s="1">
        <v>16.399999999999999</v>
      </c>
      <c r="D651" s="1">
        <v>16.899999999999999</v>
      </c>
      <c r="E651" s="1" t="s">
        <v>43</v>
      </c>
      <c r="F651" s="1">
        <v>0</v>
      </c>
      <c r="G651" s="1" t="s">
        <v>2270</v>
      </c>
      <c r="H651" s="1" t="s">
        <v>1067</v>
      </c>
      <c r="I651" s="1" t="str">
        <f>HYPERLINK("https://www.systembolaget.se/produkt/ol/s-t-eriks-146335/","https://www.systembolaget.se/produkt/ol/s-t-eriks-146335/")</f>
        <v>https://www.systembolaget.se/produkt/ol/s-t-eriks-146335/</v>
      </c>
      <c r="J651" s="1"/>
      <c r="K651" s="1">
        <v>2.96</v>
      </c>
      <c r="L651" s="2">
        <v>46167</v>
      </c>
      <c r="M651" s="1" t="s">
        <v>2273</v>
      </c>
      <c r="N651" s="1">
        <v>1.07</v>
      </c>
      <c r="O651" s="1">
        <v>330</v>
      </c>
      <c r="P651" s="1">
        <v>5.3</v>
      </c>
      <c r="Q651" s="1" t="s">
        <v>107</v>
      </c>
      <c r="R651" s="1" t="s">
        <v>108</v>
      </c>
      <c r="S651" s="1" t="s">
        <v>790</v>
      </c>
      <c r="T651" s="1"/>
      <c r="U651" s="1" t="s">
        <v>110</v>
      </c>
      <c r="V651" s="1"/>
      <c r="W651" s="1"/>
      <c r="X651" s="1" t="s">
        <v>2272</v>
      </c>
      <c r="Y651" s="1" t="s">
        <v>1337</v>
      </c>
      <c r="Z651" s="1" t="s">
        <v>43</v>
      </c>
      <c r="AA651" s="1"/>
      <c r="AB651" s="1" t="s">
        <v>114</v>
      </c>
      <c r="AC651" s="1" t="s">
        <v>90</v>
      </c>
      <c r="AD651" s="1" t="s">
        <v>43</v>
      </c>
      <c r="AE651" s="1" t="s">
        <v>43</v>
      </c>
      <c r="AF651" s="1"/>
      <c r="AG651" s="1" t="s">
        <v>43</v>
      </c>
      <c r="AH651" s="2">
        <v>46174</v>
      </c>
    </row>
    <row r="652" spans="1:34" x14ac:dyDescent="0.3">
      <c r="A652" s="1">
        <v>5140901</v>
      </c>
      <c r="B652" s="1">
        <v>2.89</v>
      </c>
      <c r="C652" s="1">
        <v>269</v>
      </c>
      <c r="D652" s="1">
        <v>277</v>
      </c>
      <c r="E652" s="1" t="s">
        <v>43</v>
      </c>
      <c r="F652" s="1">
        <v>0</v>
      </c>
      <c r="G652" s="1" t="s">
        <v>1980</v>
      </c>
      <c r="H652" s="1" t="s">
        <v>2274</v>
      </c>
      <c r="I652" s="1" t="str">
        <f>HYPERLINK("https://www.systembolaget.se/produkt/vin/botanica-5140901/","https://www.systembolaget.se/produkt/vin/botanica-5140901/")</f>
        <v>https://www.systembolaget.se/produkt/vin/botanica-5140901/</v>
      </c>
      <c r="J652" s="1">
        <v>0</v>
      </c>
      <c r="K652" s="1">
        <v>2.89</v>
      </c>
      <c r="L652" s="2">
        <v>45389</v>
      </c>
      <c r="M652" s="1" t="s">
        <v>2275</v>
      </c>
      <c r="N652" s="1">
        <v>0.36</v>
      </c>
      <c r="O652" s="1">
        <v>750</v>
      </c>
      <c r="P652" s="1">
        <v>13</v>
      </c>
      <c r="Q652" s="1" t="s">
        <v>38</v>
      </c>
      <c r="R652" s="1" t="s">
        <v>39</v>
      </c>
      <c r="S652" s="1"/>
      <c r="T652" s="1"/>
      <c r="U652" s="1" t="s">
        <v>289</v>
      </c>
      <c r="V652" s="1" t="s">
        <v>290</v>
      </c>
      <c r="W652" s="1" t="s">
        <v>291</v>
      </c>
      <c r="X652" s="1" t="s">
        <v>1984</v>
      </c>
      <c r="Y652" s="1" t="s">
        <v>1956</v>
      </c>
      <c r="Z652" s="1" t="s">
        <v>43</v>
      </c>
      <c r="AA652" s="1">
        <v>2025</v>
      </c>
      <c r="AB652" s="1" t="s">
        <v>44</v>
      </c>
      <c r="AC652" s="1" t="s">
        <v>45</v>
      </c>
      <c r="AD652" s="1" t="s">
        <v>43</v>
      </c>
      <c r="AE652" s="1" t="s">
        <v>43</v>
      </c>
      <c r="AF652" s="1"/>
      <c r="AG652" s="1" t="s">
        <v>43</v>
      </c>
      <c r="AH652" s="2">
        <v>45028</v>
      </c>
    </row>
    <row r="653" spans="1:34" x14ac:dyDescent="0.3">
      <c r="A653" s="1">
        <v>467202</v>
      </c>
      <c r="B653" s="1">
        <v>2.88</v>
      </c>
      <c r="C653" s="1">
        <v>135</v>
      </c>
      <c r="D653" s="1">
        <v>139</v>
      </c>
      <c r="E653" s="1" t="s">
        <v>43</v>
      </c>
      <c r="F653" s="1">
        <v>0</v>
      </c>
      <c r="G653" s="1" t="s">
        <v>2276</v>
      </c>
      <c r="H653" s="1"/>
      <c r="I653" s="1" t="str">
        <f>HYPERLINK("https://www.systembolaget.se/produkt/sprit/for-peat-s-sake-467202/","https://www.systembolaget.se/produkt/sprit/for-peat-s-sake-467202/")</f>
        <v>https://www.systembolaget.se/produkt/sprit/for-peat-s-sake-467202/</v>
      </c>
      <c r="J653" s="1">
        <v>2.88</v>
      </c>
      <c r="K653" s="1">
        <v>2.88</v>
      </c>
      <c r="L653" s="2">
        <v>45389</v>
      </c>
      <c r="M653" s="1" t="s">
        <v>2277</v>
      </c>
      <c r="N653" s="1">
        <v>1.04</v>
      </c>
      <c r="O653" s="1">
        <v>350</v>
      </c>
      <c r="P653" s="1">
        <v>40</v>
      </c>
      <c r="Q653" s="1" t="s">
        <v>308</v>
      </c>
      <c r="R653" s="1" t="s">
        <v>309</v>
      </c>
      <c r="S653" s="1" t="s">
        <v>1072</v>
      </c>
      <c r="T653" s="1"/>
      <c r="U653" s="1" t="s">
        <v>253</v>
      </c>
      <c r="V653" s="1" t="s">
        <v>254</v>
      </c>
      <c r="W653" s="1"/>
      <c r="X653" s="1" t="s">
        <v>2278</v>
      </c>
      <c r="Y653" s="1" t="s">
        <v>832</v>
      </c>
      <c r="Z653" s="1" t="s">
        <v>43</v>
      </c>
      <c r="AA653" s="1"/>
      <c r="AB653" s="1" t="s">
        <v>77</v>
      </c>
      <c r="AC653" s="1" t="s">
        <v>90</v>
      </c>
      <c r="AD653" s="1" t="s">
        <v>43</v>
      </c>
      <c r="AE653" s="1" t="s">
        <v>43</v>
      </c>
      <c r="AF653" s="1">
        <v>2</v>
      </c>
      <c r="AG653" s="1" t="s">
        <v>43</v>
      </c>
      <c r="AH653" s="2">
        <v>43710</v>
      </c>
    </row>
    <row r="654" spans="1:34" x14ac:dyDescent="0.3">
      <c r="A654" s="1">
        <v>7495901</v>
      </c>
      <c r="B654" s="1">
        <v>2.88</v>
      </c>
      <c r="C654" s="1">
        <v>135</v>
      </c>
      <c r="D654" s="1">
        <v>139</v>
      </c>
      <c r="E654" s="1" t="s">
        <v>43</v>
      </c>
      <c r="F654" s="1">
        <v>0</v>
      </c>
      <c r="G654" s="1" t="s">
        <v>2279</v>
      </c>
      <c r="H654" s="1" t="s">
        <v>2280</v>
      </c>
      <c r="I654" s="1" t="str">
        <f>HYPERLINK("https://www.systembolaget.se/produkt/vin/nik-weis-7495901/","https://www.systembolaget.se/produkt/vin/nik-weis-7495901/")</f>
        <v>https://www.systembolaget.se/produkt/vin/nik-weis-7495901/</v>
      </c>
      <c r="J654" s="1"/>
      <c r="K654" s="1">
        <v>2.88</v>
      </c>
      <c r="L654" s="2">
        <v>46119</v>
      </c>
      <c r="M654" s="1" t="s">
        <v>2281</v>
      </c>
      <c r="N654" s="1">
        <v>0.57999999999999996</v>
      </c>
      <c r="O654" s="1">
        <v>750</v>
      </c>
      <c r="P654" s="1">
        <v>10.5</v>
      </c>
      <c r="Q654" s="1" t="s">
        <v>38</v>
      </c>
      <c r="R654" s="1" t="s">
        <v>39</v>
      </c>
      <c r="S654" s="1"/>
      <c r="T654" s="1"/>
      <c r="U654" s="1" t="s">
        <v>119</v>
      </c>
      <c r="V654" s="1" t="s">
        <v>814</v>
      </c>
      <c r="W654" s="1"/>
      <c r="X654" s="1" t="s">
        <v>2282</v>
      </c>
      <c r="Y654" s="1" t="s">
        <v>1747</v>
      </c>
      <c r="Z654" s="1" t="s">
        <v>43</v>
      </c>
      <c r="AA654" s="1">
        <v>2025</v>
      </c>
      <c r="AB654" s="1" t="s">
        <v>44</v>
      </c>
      <c r="AC654" s="1" t="s">
        <v>45</v>
      </c>
      <c r="AD654" s="1" t="s">
        <v>43</v>
      </c>
      <c r="AE654" s="1" t="s">
        <v>43</v>
      </c>
      <c r="AF654" s="1"/>
      <c r="AG654" s="1" t="s">
        <v>43</v>
      </c>
      <c r="AH654" s="2">
        <v>46125</v>
      </c>
    </row>
    <row r="655" spans="1:34" x14ac:dyDescent="0.3">
      <c r="A655" s="1">
        <v>7701801</v>
      </c>
      <c r="B655" s="1">
        <v>2.82</v>
      </c>
      <c r="C655" s="1">
        <v>999</v>
      </c>
      <c r="D655" s="1">
        <v>1028</v>
      </c>
      <c r="E655" s="1" t="s">
        <v>43</v>
      </c>
      <c r="F655" s="1">
        <v>0</v>
      </c>
      <c r="G655" s="1" t="s">
        <v>1717</v>
      </c>
      <c r="H655" s="1" t="s">
        <v>2283</v>
      </c>
      <c r="I655" s="1" t="str">
        <f>HYPERLINK("https://www.systembolaget.se/produkt/vin/solveigs-7701801/","https://www.systembolaget.se/produkt/vin/solveigs-7701801/")</f>
        <v>https://www.systembolaget.se/produkt/vin/solveigs-7701801/</v>
      </c>
      <c r="J655" s="1"/>
      <c r="K655" s="1">
        <v>2.82</v>
      </c>
      <c r="L655" s="2">
        <v>46148</v>
      </c>
      <c r="M655" s="1" t="s">
        <v>2284</v>
      </c>
      <c r="N655" s="1">
        <v>0.11</v>
      </c>
      <c r="O655" s="1">
        <v>750</v>
      </c>
      <c r="P655" s="1">
        <v>14.5</v>
      </c>
      <c r="Q655" s="1" t="s">
        <v>38</v>
      </c>
      <c r="R655" s="1" t="s">
        <v>52</v>
      </c>
      <c r="S655" s="1"/>
      <c r="T655" s="1"/>
      <c r="U655" s="1" t="s">
        <v>119</v>
      </c>
      <c r="V655" s="1" t="s">
        <v>1099</v>
      </c>
      <c r="W655" s="1"/>
      <c r="X655" s="1" t="s">
        <v>1717</v>
      </c>
      <c r="Y655" s="1" t="s">
        <v>905</v>
      </c>
      <c r="Z655" s="1" t="s">
        <v>46</v>
      </c>
      <c r="AA655" s="1">
        <v>2020</v>
      </c>
      <c r="AB655" s="1" t="s">
        <v>44</v>
      </c>
      <c r="AC655" s="1" t="s">
        <v>45</v>
      </c>
      <c r="AD655" s="1" t="s">
        <v>43</v>
      </c>
      <c r="AE655" s="1" t="s">
        <v>43</v>
      </c>
      <c r="AF655" s="1"/>
      <c r="AG655" s="1" t="s">
        <v>43</v>
      </c>
      <c r="AH655" s="2">
        <v>45978</v>
      </c>
    </row>
    <row r="656" spans="1:34" x14ac:dyDescent="0.3">
      <c r="A656" s="1">
        <v>7406201</v>
      </c>
      <c r="B656" s="1">
        <v>2.79</v>
      </c>
      <c r="C656" s="1">
        <v>349</v>
      </c>
      <c r="D656" s="1">
        <v>359</v>
      </c>
      <c r="E656" s="1" t="s">
        <v>43</v>
      </c>
      <c r="F656" s="1">
        <v>0</v>
      </c>
      <c r="G656" s="1" t="s">
        <v>2285</v>
      </c>
      <c r="H656" s="1" t="s">
        <v>2286</v>
      </c>
      <c r="I656" s="1" t="str">
        <f>HYPERLINK("https://www.systembolaget.se/produkt/vin/chianti-classico-riserva-7406201/","https://www.systembolaget.se/produkt/vin/chianti-classico-riserva-7406201/")</f>
        <v>https://www.systembolaget.se/produkt/vin/chianti-classico-riserva-7406201/</v>
      </c>
      <c r="J656" s="1">
        <v>5.42</v>
      </c>
      <c r="K656" s="1">
        <v>2.79</v>
      </c>
      <c r="L656" s="2">
        <v>45531</v>
      </c>
      <c r="M656" s="1" t="s">
        <v>2287</v>
      </c>
      <c r="N656" s="1">
        <v>0.31</v>
      </c>
      <c r="O656" s="1">
        <v>750</v>
      </c>
      <c r="P656" s="1">
        <v>14.5</v>
      </c>
      <c r="Q656" s="1" t="s">
        <v>38</v>
      </c>
      <c r="R656" s="1" t="s">
        <v>52</v>
      </c>
      <c r="S656" s="1"/>
      <c r="T656" s="1"/>
      <c r="U656" s="1" t="s">
        <v>53</v>
      </c>
      <c r="V656" s="1" t="s">
        <v>63</v>
      </c>
      <c r="W656" s="1" t="s">
        <v>1357</v>
      </c>
      <c r="X656" s="1" t="s">
        <v>2288</v>
      </c>
      <c r="Y656" s="1" t="s">
        <v>64</v>
      </c>
      <c r="Z656" s="1" t="s">
        <v>43</v>
      </c>
      <c r="AA656" s="1">
        <v>2020</v>
      </c>
      <c r="AB656" s="1" t="s">
        <v>44</v>
      </c>
      <c r="AC656" s="1" t="s">
        <v>45</v>
      </c>
      <c r="AD656" s="1" t="s">
        <v>43</v>
      </c>
      <c r="AE656" s="1" t="s">
        <v>43</v>
      </c>
      <c r="AF656" s="1"/>
      <c r="AG656" s="1" t="s">
        <v>43</v>
      </c>
      <c r="AH656" s="2">
        <v>45538</v>
      </c>
    </row>
    <row r="657" spans="1:34" x14ac:dyDescent="0.3">
      <c r="A657" s="1">
        <v>3277403</v>
      </c>
      <c r="B657" s="1">
        <v>2.79</v>
      </c>
      <c r="C657" s="1">
        <v>34.9</v>
      </c>
      <c r="D657" s="1">
        <v>35.9</v>
      </c>
      <c r="E657" s="1" t="s">
        <v>43</v>
      </c>
      <c r="F657" s="1">
        <v>0</v>
      </c>
      <c r="G657" s="1" t="s">
        <v>2289</v>
      </c>
      <c r="H657" s="1" t="s">
        <v>2290</v>
      </c>
      <c r="I657" s="1" t="str">
        <f>HYPERLINK("https://www.systembolaget.se/produkt/cider-blanddrycker/pomsi-3277403/","https://www.systembolaget.se/produkt/cider-blanddrycker/pomsi-3277403/")</f>
        <v>https://www.systembolaget.se/produkt/cider-blanddrycker/pomsi-3277403/</v>
      </c>
      <c r="J657" s="1">
        <v>0</v>
      </c>
      <c r="K657" s="1">
        <v>2.79</v>
      </c>
      <c r="L657" s="2">
        <v>45852</v>
      </c>
      <c r="M657" s="1" t="s">
        <v>2291</v>
      </c>
      <c r="N657" s="1">
        <v>0.43</v>
      </c>
      <c r="O657" s="1">
        <v>330</v>
      </c>
      <c r="P657" s="1">
        <v>4.5</v>
      </c>
      <c r="Q657" s="1" t="s">
        <v>157</v>
      </c>
      <c r="R657" s="1" t="s">
        <v>158</v>
      </c>
      <c r="S657" s="1" t="s">
        <v>1335</v>
      </c>
      <c r="T657" s="1"/>
      <c r="U657" s="1" t="s">
        <v>110</v>
      </c>
      <c r="V657" s="1" t="s">
        <v>2024</v>
      </c>
      <c r="W657" s="1" t="s">
        <v>2025</v>
      </c>
      <c r="X657" s="1" t="s">
        <v>2292</v>
      </c>
      <c r="Y657" s="1" t="s">
        <v>783</v>
      </c>
      <c r="Z657" s="1" t="s">
        <v>46</v>
      </c>
      <c r="AA657" s="1"/>
      <c r="AB657" s="1" t="s">
        <v>44</v>
      </c>
      <c r="AC657" s="1" t="s">
        <v>115</v>
      </c>
      <c r="AD657" s="1" t="s">
        <v>43</v>
      </c>
      <c r="AE657" s="1" t="s">
        <v>43</v>
      </c>
      <c r="AF657" s="1">
        <v>33</v>
      </c>
      <c r="AG657" s="1" t="s">
        <v>43</v>
      </c>
      <c r="AH657" s="2">
        <v>45873</v>
      </c>
    </row>
    <row r="658" spans="1:34" x14ac:dyDescent="0.3">
      <c r="A658" s="1">
        <v>8071001</v>
      </c>
      <c r="B658" s="1">
        <v>2.78</v>
      </c>
      <c r="C658" s="1">
        <v>699</v>
      </c>
      <c r="D658" s="1">
        <v>719</v>
      </c>
      <c r="E658" s="1" t="s">
        <v>43</v>
      </c>
      <c r="F658" s="1">
        <v>0</v>
      </c>
      <c r="G658" s="1" t="s">
        <v>2293</v>
      </c>
      <c r="H658" s="1" t="s">
        <v>2294</v>
      </c>
      <c r="I658" s="1" t="str">
        <f>HYPERLINK("https://www.systembolaget.se/produkt/sprit/shinobu-8071001/","https://www.systembolaget.se/produkt/sprit/shinobu-8071001/")</f>
        <v>https://www.systembolaget.se/produkt/sprit/shinobu-8071001/</v>
      </c>
      <c r="J658" s="1">
        <v>1.41</v>
      </c>
      <c r="K658" s="1">
        <v>2.78</v>
      </c>
      <c r="L658" s="2">
        <v>45389</v>
      </c>
      <c r="M658" s="1" t="s">
        <v>2295</v>
      </c>
      <c r="N658" s="1">
        <v>0.43</v>
      </c>
      <c r="O658" s="1">
        <v>700</v>
      </c>
      <c r="P658" s="1">
        <v>43</v>
      </c>
      <c r="Q658" s="1" t="s">
        <v>308</v>
      </c>
      <c r="R658" s="1" t="s">
        <v>309</v>
      </c>
      <c r="S658" s="1" t="s">
        <v>318</v>
      </c>
      <c r="T658" s="1"/>
      <c r="U658" s="1" t="s">
        <v>855</v>
      </c>
      <c r="V658" s="1"/>
      <c r="W658" s="1"/>
      <c r="X658" s="1" t="s">
        <v>2296</v>
      </c>
      <c r="Y658" s="1" t="s">
        <v>1767</v>
      </c>
      <c r="Z658" s="1" t="s">
        <v>43</v>
      </c>
      <c r="AA658" s="1"/>
      <c r="AB658" s="1" t="s">
        <v>77</v>
      </c>
      <c r="AC658" s="1" t="s">
        <v>45</v>
      </c>
      <c r="AD658" s="1" t="s">
        <v>43</v>
      </c>
      <c r="AE658" s="1" t="s">
        <v>43</v>
      </c>
      <c r="AF658" s="1"/>
      <c r="AG658" s="1" t="s">
        <v>43</v>
      </c>
      <c r="AH658" s="2">
        <v>43978</v>
      </c>
    </row>
    <row r="659" spans="1:34" x14ac:dyDescent="0.3">
      <c r="A659" s="1">
        <v>3346034</v>
      </c>
      <c r="B659" s="1">
        <v>2.71</v>
      </c>
      <c r="C659" s="1">
        <v>35.9</v>
      </c>
      <c r="D659" s="1">
        <v>36.9</v>
      </c>
      <c r="E659" s="1" t="s">
        <v>43</v>
      </c>
      <c r="F659" s="1">
        <v>0</v>
      </c>
      <c r="G659" s="1" t="s">
        <v>2297</v>
      </c>
      <c r="H659" s="1" t="s">
        <v>2298</v>
      </c>
      <c r="I659" s="1" t="str">
        <f>HYPERLINK("https://www.systembolaget.se/produkt/ol/crooked-moon-brewing-3346034/","https://www.systembolaget.se/produkt/ol/crooked-moon-brewing-3346034/")</f>
        <v>https://www.systembolaget.se/produkt/ol/crooked-moon-brewing-3346034/</v>
      </c>
      <c r="J659" s="1"/>
      <c r="K659" s="1">
        <v>2.71</v>
      </c>
      <c r="L659" s="2">
        <v>46062</v>
      </c>
      <c r="M659" s="1" t="s">
        <v>2299</v>
      </c>
      <c r="N659" s="1">
        <v>0.67</v>
      </c>
      <c r="O659" s="1">
        <v>440</v>
      </c>
      <c r="P659" s="1">
        <v>5.5</v>
      </c>
      <c r="Q659" s="1" t="s">
        <v>107</v>
      </c>
      <c r="R659" s="1" t="s">
        <v>108</v>
      </c>
      <c r="S659" s="1" t="s">
        <v>693</v>
      </c>
      <c r="T659" s="1"/>
      <c r="U659" s="1" t="s">
        <v>110</v>
      </c>
      <c r="V659" s="1" t="s">
        <v>694</v>
      </c>
      <c r="W659" s="1" t="s">
        <v>695</v>
      </c>
      <c r="X659" s="1" t="s">
        <v>1379</v>
      </c>
      <c r="Y659" s="1" t="s">
        <v>1379</v>
      </c>
      <c r="Z659" s="1" t="s">
        <v>43</v>
      </c>
      <c r="AA659" s="1"/>
      <c r="AB659" s="1" t="s">
        <v>114</v>
      </c>
      <c r="AC659" s="1" t="s">
        <v>115</v>
      </c>
      <c r="AD659" s="1" t="s">
        <v>43</v>
      </c>
      <c r="AE659" s="1" t="s">
        <v>43</v>
      </c>
      <c r="AF659" s="1"/>
      <c r="AG659" s="1" t="s">
        <v>43</v>
      </c>
      <c r="AH659" s="2">
        <v>46083</v>
      </c>
    </row>
    <row r="660" spans="1:34" x14ac:dyDescent="0.3">
      <c r="A660" s="1">
        <v>3464934</v>
      </c>
      <c r="B660" s="1">
        <v>2.71</v>
      </c>
      <c r="C660" s="1">
        <v>35.9</v>
      </c>
      <c r="D660" s="1">
        <v>36.9</v>
      </c>
      <c r="E660" s="1" t="s">
        <v>43</v>
      </c>
      <c r="F660" s="1">
        <v>0</v>
      </c>
      <c r="G660" s="1" t="s">
        <v>1376</v>
      </c>
      <c r="H660" s="1" t="s">
        <v>2300</v>
      </c>
      <c r="I660" s="1" t="str">
        <f>HYPERLINK("https://www.systembolaget.se/produkt/ol/crooked-moon-3464934/","https://www.systembolaget.se/produkt/ol/crooked-moon-3464934/")</f>
        <v>https://www.systembolaget.se/produkt/ol/crooked-moon-3464934/</v>
      </c>
      <c r="J660" s="1"/>
      <c r="K660" s="1">
        <v>2.71</v>
      </c>
      <c r="L660" s="2">
        <v>46160</v>
      </c>
      <c r="M660" s="1" t="s">
        <v>2301</v>
      </c>
      <c r="N660" s="1">
        <v>0.69</v>
      </c>
      <c r="O660" s="1">
        <v>440</v>
      </c>
      <c r="P660" s="1">
        <v>5.6</v>
      </c>
      <c r="Q660" s="1" t="s">
        <v>107</v>
      </c>
      <c r="R660" s="1" t="s">
        <v>108</v>
      </c>
      <c r="S660" s="1" t="s">
        <v>693</v>
      </c>
      <c r="T660" s="1"/>
      <c r="U660" s="1" t="s">
        <v>110</v>
      </c>
      <c r="V660" s="1" t="s">
        <v>694</v>
      </c>
      <c r="W660" s="1" t="s">
        <v>695</v>
      </c>
      <c r="X660" s="1" t="s">
        <v>1379</v>
      </c>
      <c r="Y660" s="1" t="s">
        <v>1379</v>
      </c>
      <c r="Z660" s="1" t="s">
        <v>43</v>
      </c>
      <c r="AA660" s="1"/>
      <c r="AB660" s="1" t="s">
        <v>114</v>
      </c>
      <c r="AC660" s="1" t="s">
        <v>115</v>
      </c>
      <c r="AD660" s="1" t="s">
        <v>43</v>
      </c>
      <c r="AE660" s="1" t="s">
        <v>43</v>
      </c>
      <c r="AF660" s="1"/>
      <c r="AG660" s="1" t="s">
        <v>43</v>
      </c>
      <c r="AH660" s="2">
        <v>46181</v>
      </c>
    </row>
    <row r="661" spans="1:34" x14ac:dyDescent="0.3">
      <c r="A661" s="1">
        <v>234701</v>
      </c>
      <c r="B661" s="1">
        <v>2.68</v>
      </c>
      <c r="C661" s="1">
        <v>109</v>
      </c>
      <c r="D661" s="1">
        <v>112</v>
      </c>
      <c r="E661" s="1" t="s">
        <v>43</v>
      </c>
      <c r="F661" s="1">
        <v>0</v>
      </c>
      <c r="G661" s="1" t="s">
        <v>2302</v>
      </c>
      <c r="H661" s="1"/>
      <c r="I661" s="1" t="str">
        <f>HYPERLINK("https://www.systembolaget.se/produkt/vin/carm-234701/","https://www.systembolaget.se/produkt/vin/carm-234701/")</f>
        <v>https://www.systembolaget.se/produkt/vin/carm-234701/</v>
      </c>
      <c r="J661" s="1">
        <v>0.91</v>
      </c>
      <c r="K661" s="1">
        <v>2.68</v>
      </c>
      <c r="L661" s="2">
        <v>45389</v>
      </c>
      <c r="M661" s="1" t="s">
        <v>2303</v>
      </c>
      <c r="N661" s="1">
        <v>0.93</v>
      </c>
      <c r="O661" s="1">
        <v>750</v>
      </c>
      <c r="P661" s="1">
        <v>13.5</v>
      </c>
      <c r="Q661" s="1" t="s">
        <v>38</v>
      </c>
      <c r="R661" s="1" t="s">
        <v>52</v>
      </c>
      <c r="S661" s="1" t="s">
        <v>84</v>
      </c>
      <c r="T661" s="1"/>
      <c r="U661" s="1" t="s">
        <v>272</v>
      </c>
      <c r="V661" s="1" t="s">
        <v>341</v>
      </c>
      <c r="W661" s="1"/>
      <c r="X661" s="1" t="s">
        <v>2304</v>
      </c>
      <c r="Y661" s="1" t="s">
        <v>261</v>
      </c>
      <c r="Z661" s="1" t="s">
        <v>46</v>
      </c>
      <c r="AA661" s="1">
        <v>2024</v>
      </c>
      <c r="AB661" s="1" t="s">
        <v>77</v>
      </c>
      <c r="AC661" s="1" t="s">
        <v>90</v>
      </c>
      <c r="AD661" s="1" t="s">
        <v>43</v>
      </c>
      <c r="AE661" s="1" t="s">
        <v>43</v>
      </c>
      <c r="AF661" s="1">
        <v>4</v>
      </c>
      <c r="AG661" s="1" t="s">
        <v>43</v>
      </c>
      <c r="AH661" s="2">
        <v>43525</v>
      </c>
    </row>
    <row r="662" spans="1:34" x14ac:dyDescent="0.3">
      <c r="A662" s="1">
        <v>5929201</v>
      </c>
      <c r="B662" s="1">
        <v>2.67</v>
      </c>
      <c r="C662" s="1">
        <v>219</v>
      </c>
      <c r="D662" s="1">
        <v>225</v>
      </c>
      <c r="E662" s="1" t="s">
        <v>43</v>
      </c>
      <c r="F662" s="1">
        <v>0</v>
      </c>
      <c r="G662" s="1" t="s">
        <v>2305</v>
      </c>
      <c r="H662" s="1" t="s">
        <v>2306</v>
      </c>
      <c r="I662" s="1" t="str">
        <f>HYPERLINK("https://www.systembolaget.se/produkt/vin/damilano-5929201/","https://www.systembolaget.se/produkt/vin/damilano-5929201/")</f>
        <v>https://www.systembolaget.se/produkt/vin/damilano-5929201/</v>
      </c>
      <c r="J662" s="1">
        <v>0</v>
      </c>
      <c r="K662" s="1">
        <v>2.67</v>
      </c>
      <c r="L662" s="2">
        <v>45409</v>
      </c>
      <c r="M662" s="1" t="s">
        <v>2307</v>
      </c>
      <c r="N662" s="1">
        <v>0.5</v>
      </c>
      <c r="O662" s="1">
        <v>750</v>
      </c>
      <c r="P662" s="1">
        <v>14.5</v>
      </c>
      <c r="Q662" s="1" t="s">
        <v>38</v>
      </c>
      <c r="R662" s="1" t="s">
        <v>52</v>
      </c>
      <c r="S662" s="1"/>
      <c r="T662" s="1"/>
      <c r="U662" s="1" t="s">
        <v>53</v>
      </c>
      <c r="V662" s="1" t="s">
        <v>95</v>
      </c>
      <c r="W662" s="1" t="s">
        <v>2306</v>
      </c>
      <c r="X662" s="1" t="s">
        <v>2305</v>
      </c>
      <c r="Y662" s="1" t="s">
        <v>423</v>
      </c>
      <c r="Z662" s="1" t="s">
        <v>43</v>
      </c>
      <c r="AA662" s="1">
        <v>2024</v>
      </c>
      <c r="AB662" s="1" t="s">
        <v>44</v>
      </c>
      <c r="AC662" s="1" t="s">
        <v>45</v>
      </c>
      <c r="AD662" s="1" t="s">
        <v>43</v>
      </c>
      <c r="AE662" s="1" t="s">
        <v>43</v>
      </c>
      <c r="AF662" s="1"/>
      <c r="AG662" s="1" t="s">
        <v>43</v>
      </c>
      <c r="AH662" s="2">
        <v>44900</v>
      </c>
    </row>
    <row r="663" spans="1:34" x14ac:dyDescent="0.3">
      <c r="A663" s="1">
        <v>7314201</v>
      </c>
      <c r="B663" s="1">
        <v>2.67</v>
      </c>
      <c r="C663" s="1">
        <v>219</v>
      </c>
      <c r="D663" s="1">
        <v>225</v>
      </c>
      <c r="E663" s="1" t="s">
        <v>43</v>
      </c>
      <c r="F663" s="1">
        <v>0</v>
      </c>
      <c r="G663" s="1" t="s">
        <v>2308</v>
      </c>
      <c r="H663" s="1" t="s">
        <v>2309</v>
      </c>
      <c r="I663" s="1" t="str">
        <f>HYPERLINK("https://www.systembolaget.se/produkt/vin/gerard-bertrand-7314201/","https://www.systembolaget.se/produkt/vin/gerard-bertrand-7314201/")</f>
        <v>https://www.systembolaget.se/produkt/vin/gerard-bertrand-7314201/</v>
      </c>
      <c r="J663" s="1">
        <v>0</v>
      </c>
      <c r="K663" s="1">
        <v>2.67</v>
      </c>
      <c r="L663" s="2">
        <v>45835</v>
      </c>
      <c r="M663" s="1" t="s">
        <v>2310</v>
      </c>
      <c r="N663" s="1">
        <v>0.51</v>
      </c>
      <c r="O663" s="1">
        <v>750</v>
      </c>
      <c r="P663" s="1">
        <v>15</v>
      </c>
      <c r="Q663" s="1" t="s">
        <v>38</v>
      </c>
      <c r="R663" s="1" t="s">
        <v>52</v>
      </c>
      <c r="S663" s="1" t="s">
        <v>84</v>
      </c>
      <c r="T663" s="1"/>
      <c r="U663" s="1" t="s">
        <v>101</v>
      </c>
      <c r="V663" s="1" t="s">
        <v>185</v>
      </c>
      <c r="W663" s="1" t="s">
        <v>2311</v>
      </c>
      <c r="X663" s="1" t="s">
        <v>2308</v>
      </c>
      <c r="Y663" s="1" t="s">
        <v>1747</v>
      </c>
      <c r="Z663" s="1" t="s">
        <v>46</v>
      </c>
      <c r="AA663" s="1">
        <v>2023</v>
      </c>
      <c r="AB663" s="1" t="s">
        <v>44</v>
      </c>
      <c r="AC663" s="1" t="s">
        <v>90</v>
      </c>
      <c r="AD663" s="1" t="s">
        <v>43</v>
      </c>
      <c r="AE663" s="1" t="s">
        <v>43</v>
      </c>
      <c r="AF663" s="1">
        <v>2</v>
      </c>
      <c r="AG663" s="1" t="s">
        <v>43</v>
      </c>
      <c r="AH663" s="2">
        <v>41061</v>
      </c>
    </row>
    <row r="664" spans="1:34" x14ac:dyDescent="0.3">
      <c r="A664" s="1">
        <v>3043635</v>
      </c>
      <c r="B664" s="1">
        <v>2.64</v>
      </c>
      <c r="C664" s="1">
        <v>36.9</v>
      </c>
      <c r="D664" s="1">
        <v>37.9</v>
      </c>
      <c r="E664" s="1" t="s">
        <v>43</v>
      </c>
      <c r="F664" s="1">
        <v>0</v>
      </c>
      <c r="G664" s="1" t="s">
        <v>1475</v>
      </c>
      <c r="H664" s="1" t="s">
        <v>2312</v>
      </c>
      <c r="I664" s="1" t="str">
        <f>HYPERLINK("https://www.systembolaget.se/produkt/ol/brewski-3043635/","https://www.systembolaget.se/produkt/ol/brewski-3043635/")</f>
        <v>https://www.systembolaget.se/produkt/ol/brewski-3043635/</v>
      </c>
      <c r="J664" s="1"/>
      <c r="K664" s="1">
        <v>2.64</v>
      </c>
      <c r="L664" s="2">
        <v>46034</v>
      </c>
      <c r="M664" s="1" t="s">
        <v>2313</v>
      </c>
      <c r="N664" s="1">
        <v>0.45</v>
      </c>
      <c r="O664" s="1">
        <v>330</v>
      </c>
      <c r="P664" s="1">
        <v>5</v>
      </c>
      <c r="Q664" s="1" t="s">
        <v>107</v>
      </c>
      <c r="R664" s="1" t="s">
        <v>207</v>
      </c>
      <c r="S664" s="1" t="s">
        <v>208</v>
      </c>
      <c r="T664" s="1"/>
      <c r="U664" s="1" t="s">
        <v>110</v>
      </c>
      <c r="V664" s="1" t="s">
        <v>694</v>
      </c>
      <c r="W664" s="1" t="s">
        <v>695</v>
      </c>
      <c r="X664" s="1" t="s">
        <v>1475</v>
      </c>
      <c r="Y664" s="1" t="s">
        <v>1479</v>
      </c>
      <c r="Z664" s="1" t="s">
        <v>43</v>
      </c>
      <c r="AA664" s="1"/>
      <c r="AB664" s="1" t="s">
        <v>114</v>
      </c>
      <c r="AC664" s="1" t="s">
        <v>115</v>
      </c>
      <c r="AD664" s="1" t="s">
        <v>43</v>
      </c>
      <c r="AE664" s="1" t="s">
        <v>43</v>
      </c>
      <c r="AF664" s="1"/>
      <c r="AG664" s="1" t="s">
        <v>43</v>
      </c>
      <c r="AH664" s="2">
        <v>46055</v>
      </c>
    </row>
    <row r="665" spans="1:34" x14ac:dyDescent="0.3">
      <c r="A665" s="1">
        <v>7477901</v>
      </c>
      <c r="B665" s="1">
        <v>2.58</v>
      </c>
      <c r="C665" s="1">
        <v>189</v>
      </c>
      <c r="D665" s="1">
        <v>194</v>
      </c>
      <c r="E665" s="1" t="s">
        <v>43</v>
      </c>
      <c r="F665" s="1">
        <v>0</v>
      </c>
      <c r="G665" s="1" t="s">
        <v>2314</v>
      </c>
      <c r="H665" s="1" t="s">
        <v>2315</v>
      </c>
      <c r="I665" s="1" t="str">
        <f>HYPERLINK("https://www.systembolaget.se/produkt/vin/cederberg-7477901/","https://www.systembolaget.se/produkt/vin/cederberg-7477901/")</f>
        <v>https://www.systembolaget.se/produkt/vin/cederberg-7477901/</v>
      </c>
      <c r="J665" s="1">
        <v>0</v>
      </c>
      <c r="K665" s="1">
        <v>2.58</v>
      </c>
      <c r="L665" s="2">
        <v>45389</v>
      </c>
      <c r="M665" s="1" t="s">
        <v>2316</v>
      </c>
      <c r="N665" s="1">
        <v>0.5</v>
      </c>
      <c r="O665" s="1">
        <v>750</v>
      </c>
      <c r="P665" s="1">
        <v>12.5</v>
      </c>
      <c r="Q665" s="1" t="s">
        <v>38</v>
      </c>
      <c r="R665" s="1" t="s">
        <v>39</v>
      </c>
      <c r="S665" s="1"/>
      <c r="T665" s="1"/>
      <c r="U665" s="1" t="s">
        <v>289</v>
      </c>
      <c r="V665" s="1" t="s">
        <v>290</v>
      </c>
      <c r="W665" s="1" t="s">
        <v>2314</v>
      </c>
      <c r="X665" s="1" t="s">
        <v>2317</v>
      </c>
      <c r="Y665" s="1" t="s">
        <v>2318</v>
      </c>
      <c r="Z665" s="1" t="s">
        <v>43</v>
      </c>
      <c r="AA665" s="1">
        <v>2025</v>
      </c>
      <c r="AB665" s="1" t="s">
        <v>44</v>
      </c>
      <c r="AC665" s="1" t="s">
        <v>45</v>
      </c>
      <c r="AD665" s="1" t="s">
        <v>43</v>
      </c>
      <c r="AE665" s="1" t="s">
        <v>43</v>
      </c>
      <c r="AF665" s="1"/>
      <c r="AG665" s="1" t="s">
        <v>43</v>
      </c>
      <c r="AH665" s="2">
        <v>40940</v>
      </c>
    </row>
    <row r="666" spans="1:34" x14ac:dyDescent="0.3">
      <c r="A666" s="1">
        <v>7667001</v>
      </c>
      <c r="B666" s="1">
        <v>2.58</v>
      </c>
      <c r="C666" s="1">
        <v>189</v>
      </c>
      <c r="D666" s="1">
        <v>194</v>
      </c>
      <c r="E666" s="1" t="s">
        <v>43</v>
      </c>
      <c r="F666" s="1">
        <v>0</v>
      </c>
      <c r="G666" s="1" t="s">
        <v>2314</v>
      </c>
      <c r="H666" s="1" t="s">
        <v>2319</v>
      </c>
      <c r="I666" s="1" t="str">
        <f>HYPERLINK("https://www.systembolaget.se/produkt/vin/cederberg-7667001/","https://www.systembolaget.se/produkt/vin/cederberg-7667001/")</f>
        <v>https://www.systembolaget.se/produkt/vin/cederberg-7667001/</v>
      </c>
      <c r="J666" s="1">
        <v>0</v>
      </c>
      <c r="K666" s="1">
        <v>2.58</v>
      </c>
      <c r="L666" s="2">
        <v>45534</v>
      </c>
      <c r="M666" s="1" t="s">
        <v>2316</v>
      </c>
      <c r="N666" s="1">
        <v>0.56000000000000005</v>
      </c>
      <c r="O666" s="1">
        <v>750</v>
      </c>
      <c r="P666" s="1">
        <v>14</v>
      </c>
      <c r="Q666" s="1" t="s">
        <v>38</v>
      </c>
      <c r="R666" s="1" t="s">
        <v>52</v>
      </c>
      <c r="S666" s="1"/>
      <c r="T666" s="1"/>
      <c r="U666" s="1" t="s">
        <v>289</v>
      </c>
      <c r="V666" s="1" t="s">
        <v>290</v>
      </c>
      <c r="W666" s="1" t="s">
        <v>2314</v>
      </c>
      <c r="X666" s="1" t="s">
        <v>2317</v>
      </c>
      <c r="Y666" s="1" t="s">
        <v>2318</v>
      </c>
      <c r="Z666" s="1" t="s">
        <v>43</v>
      </c>
      <c r="AA666" s="1">
        <v>2023</v>
      </c>
      <c r="AB666" s="1" t="s">
        <v>44</v>
      </c>
      <c r="AC666" s="1" t="s">
        <v>45</v>
      </c>
      <c r="AD666" s="1" t="s">
        <v>43</v>
      </c>
      <c r="AE666" s="1" t="s">
        <v>43</v>
      </c>
      <c r="AF666" s="1"/>
      <c r="AG666" s="1" t="s">
        <v>43</v>
      </c>
      <c r="AH666" s="2">
        <v>41610</v>
      </c>
    </row>
    <row r="667" spans="1:34" x14ac:dyDescent="0.3">
      <c r="A667" s="1">
        <v>1279701</v>
      </c>
      <c r="B667" s="1">
        <v>2.56</v>
      </c>
      <c r="C667" s="1">
        <v>76</v>
      </c>
      <c r="D667" s="1">
        <v>78</v>
      </c>
      <c r="E667" s="1" t="s">
        <v>43</v>
      </c>
      <c r="F667" s="1">
        <v>0</v>
      </c>
      <c r="G667" s="1" t="s">
        <v>1920</v>
      </c>
      <c r="H667" s="1" t="s">
        <v>1921</v>
      </c>
      <c r="I667" s="1" t="str">
        <f>HYPERLINK("https://www.systembolaget.se/produkt/vin/castillo-de-gredos-1279701/","https://www.systembolaget.se/produkt/vin/castillo-de-gredos-1279701/")</f>
        <v>https://www.systembolaget.se/produkt/vin/castillo-de-gredos-1279701/</v>
      </c>
      <c r="J667" s="1">
        <v>-2.7</v>
      </c>
      <c r="K667" s="1">
        <v>2.56</v>
      </c>
      <c r="L667" s="2">
        <v>45389</v>
      </c>
      <c r="M667" s="1" t="s">
        <v>2320</v>
      </c>
      <c r="N667" s="1">
        <v>1.71</v>
      </c>
      <c r="O667" s="1">
        <v>1000</v>
      </c>
      <c r="P667" s="1">
        <v>13</v>
      </c>
      <c r="Q667" s="1" t="s">
        <v>38</v>
      </c>
      <c r="R667" s="1" t="s">
        <v>52</v>
      </c>
      <c r="S667" s="1" t="s">
        <v>72</v>
      </c>
      <c r="T667" s="1"/>
      <c r="U667" s="1" t="s">
        <v>164</v>
      </c>
      <c r="V667" s="1"/>
      <c r="W667" s="1"/>
      <c r="X667" s="1" t="s">
        <v>1923</v>
      </c>
      <c r="Y667" s="1" t="s">
        <v>364</v>
      </c>
      <c r="Z667" s="1" t="s">
        <v>46</v>
      </c>
      <c r="AA667" s="1"/>
      <c r="AB667" s="1" t="s">
        <v>1709</v>
      </c>
      <c r="AC667" s="1" t="s">
        <v>90</v>
      </c>
      <c r="AD667" s="1" t="s">
        <v>43</v>
      </c>
      <c r="AE667" s="1" t="s">
        <v>43</v>
      </c>
      <c r="AF667" s="1">
        <v>2</v>
      </c>
      <c r="AG667" s="1" t="s">
        <v>43</v>
      </c>
      <c r="AH667" s="2">
        <v>35919</v>
      </c>
    </row>
    <row r="668" spans="1:34" x14ac:dyDescent="0.3">
      <c r="A668" s="1">
        <v>3208035</v>
      </c>
      <c r="B668" s="1">
        <v>2.56</v>
      </c>
      <c r="C668" s="1">
        <v>38</v>
      </c>
      <c r="D668" s="1">
        <v>39</v>
      </c>
      <c r="E668" s="1" t="s">
        <v>43</v>
      </c>
      <c r="F668" s="1">
        <v>0</v>
      </c>
      <c r="G668" s="1" t="s">
        <v>625</v>
      </c>
      <c r="H668" s="1" t="s">
        <v>2321</v>
      </c>
      <c r="I668" s="1" t="str">
        <f>HYPERLINK("https://www.systembolaget.se/produkt/ol/bearded-rabbit-brewery-3208035/","https://www.systembolaget.se/produkt/ol/bearded-rabbit-brewery-3208035/")</f>
        <v>https://www.systembolaget.se/produkt/ol/bearded-rabbit-brewery-3208035/</v>
      </c>
      <c r="J668" s="1"/>
      <c r="K668" s="1">
        <v>2.56</v>
      </c>
      <c r="L668" s="2">
        <v>46188</v>
      </c>
      <c r="M668" s="1" t="s">
        <v>2322</v>
      </c>
      <c r="N668" s="1">
        <v>0.56000000000000005</v>
      </c>
      <c r="O668" s="1">
        <v>330</v>
      </c>
      <c r="P668" s="1">
        <v>6.5</v>
      </c>
      <c r="Q668" s="1" t="s">
        <v>107</v>
      </c>
      <c r="R668" s="1" t="s">
        <v>108</v>
      </c>
      <c r="S668" s="1" t="s">
        <v>790</v>
      </c>
      <c r="T668" s="1"/>
      <c r="U668" s="1" t="s">
        <v>110</v>
      </c>
      <c r="V668" s="1" t="s">
        <v>136</v>
      </c>
      <c r="W668" s="1" t="s">
        <v>137</v>
      </c>
      <c r="X668" s="1" t="s">
        <v>625</v>
      </c>
      <c r="Y668" s="1" t="s">
        <v>628</v>
      </c>
      <c r="Z668" s="1" t="s">
        <v>43</v>
      </c>
      <c r="AA668" s="1"/>
      <c r="AB668" s="1" t="s">
        <v>114</v>
      </c>
      <c r="AC668" s="1" t="s">
        <v>115</v>
      </c>
      <c r="AD668" s="1" t="s">
        <v>43</v>
      </c>
      <c r="AE668" s="1" t="s">
        <v>43</v>
      </c>
      <c r="AF668" s="1"/>
      <c r="AG668" s="1" t="s">
        <v>43</v>
      </c>
      <c r="AH668" s="2">
        <v>46209</v>
      </c>
    </row>
    <row r="669" spans="1:34" x14ac:dyDescent="0.3">
      <c r="A669" s="1">
        <v>8019102</v>
      </c>
      <c r="B669" s="1">
        <v>2.54</v>
      </c>
      <c r="C669" s="1">
        <v>269</v>
      </c>
      <c r="D669" s="1">
        <v>276</v>
      </c>
      <c r="E669" s="1" t="s">
        <v>43</v>
      </c>
      <c r="F669" s="1">
        <v>0</v>
      </c>
      <c r="G669" s="1" t="s">
        <v>928</v>
      </c>
      <c r="H669" s="1" t="s">
        <v>2323</v>
      </c>
      <c r="I669" s="1" t="str">
        <f>HYPERLINK("https://www.systembolaget.se/produkt/sprit/joseph-cartron-8019102/","https://www.systembolaget.se/produkt/sprit/joseph-cartron-8019102/")</f>
        <v>https://www.systembolaget.se/produkt/sprit/joseph-cartron-8019102/</v>
      </c>
      <c r="J669" s="1">
        <v>2.54</v>
      </c>
      <c r="K669" s="1">
        <v>2.54</v>
      </c>
      <c r="L669" s="2">
        <v>45520</v>
      </c>
      <c r="M669" s="1" t="s">
        <v>2324</v>
      </c>
      <c r="N669" s="1">
        <v>0.46</v>
      </c>
      <c r="O669" s="1">
        <v>500</v>
      </c>
      <c r="P669" s="1">
        <v>25</v>
      </c>
      <c r="Q669" s="1" t="s">
        <v>308</v>
      </c>
      <c r="R669" s="1" t="s">
        <v>378</v>
      </c>
      <c r="S669" s="1" t="s">
        <v>379</v>
      </c>
      <c r="T669" s="1"/>
      <c r="U669" s="1" t="s">
        <v>101</v>
      </c>
      <c r="V669" s="1"/>
      <c r="W669" s="1"/>
      <c r="X669" s="1" t="s">
        <v>932</v>
      </c>
      <c r="Y669" s="1" t="s">
        <v>933</v>
      </c>
      <c r="Z669" s="1" t="s">
        <v>43</v>
      </c>
      <c r="AA669" s="1"/>
      <c r="AB669" s="1" t="s">
        <v>44</v>
      </c>
      <c r="AC669" s="1" t="s">
        <v>45</v>
      </c>
      <c r="AD669" s="1" t="s">
        <v>43</v>
      </c>
      <c r="AE669" s="1" t="s">
        <v>43</v>
      </c>
      <c r="AF669" s="1"/>
      <c r="AG669" s="1" t="s">
        <v>43</v>
      </c>
      <c r="AH669" s="2">
        <v>38292</v>
      </c>
    </row>
    <row r="670" spans="1:34" x14ac:dyDescent="0.3">
      <c r="A670" s="1">
        <v>7419101</v>
      </c>
      <c r="B670" s="1">
        <v>2.52</v>
      </c>
      <c r="C670" s="1">
        <v>309</v>
      </c>
      <c r="D670" s="1">
        <v>317</v>
      </c>
      <c r="E670" s="1" t="s">
        <v>43</v>
      </c>
      <c r="F670" s="1">
        <v>0</v>
      </c>
      <c r="G670" s="1" t="s">
        <v>2039</v>
      </c>
      <c r="H670" s="1" t="s">
        <v>2325</v>
      </c>
      <c r="I670" s="1" t="str">
        <f>HYPERLINK("https://www.systembolaget.se/produkt/vin/societa-agricola-il-sasso-7419101/","https://www.systembolaget.se/produkt/vin/societa-agricola-il-sasso-7419101/")</f>
        <v>https://www.systembolaget.se/produkt/vin/societa-agricola-il-sasso-7419101/</v>
      </c>
      <c r="J670" s="1">
        <v>1.9</v>
      </c>
      <c r="K670" s="1">
        <v>2.52</v>
      </c>
      <c r="L670" s="2">
        <v>45532</v>
      </c>
      <c r="M670" s="1" t="s">
        <v>2326</v>
      </c>
      <c r="N670" s="1">
        <v>0.32</v>
      </c>
      <c r="O670" s="1">
        <v>750</v>
      </c>
      <c r="P670" s="1">
        <v>13</v>
      </c>
      <c r="Q670" s="1" t="s">
        <v>38</v>
      </c>
      <c r="R670" s="1" t="s">
        <v>52</v>
      </c>
      <c r="S670" s="1"/>
      <c r="T670" s="1"/>
      <c r="U670" s="1" t="s">
        <v>53</v>
      </c>
      <c r="V670" s="1" t="s">
        <v>202</v>
      </c>
      <c r="W670" s="1" t="s">
        <v>265</v>
      </c>
      <c r="X670" s="1" t="s">
        <v>2042</v>
      </c>
      <c r="Y670" s="1" t="s">
        <v>1956</v>
      </c>
      <c r="Z670" s="1" t="s">
        <v>46</v>
      </c>
      <c r="AA670" s="1">
        <v>2020</v>
      </c>
      <c r="AB670" s="1" t="s">
        <v>44</v>
      </c>
      <c r="AC670" s="1" t="s">
        <v>45</v>
      </c>
      <c r="AD670" s="1" t="s">
        <v>43</v>
      </c>
      <c r="AE670" s="1" t="s">
        <v>43</v>
      </c>
      <c r="AF670" s="1"/>
      <c r="AG670" s="1" t="s">
        <v>43</v>
      </c>
      <c r="AH670" s="2">
        <v>45539</v>
      </c>
    </row>
    <row r="671" spans="1:34" x14ac:dyDescent="0.3">
      <c r="A671" s="1">
        <v>1194104</v>
      </c>
      <c r="B671" s="1">
        <v>2.5</v>
      </c>
      <c r="C671" s="1">
        <v>39</v>
      </c>
      <c r="D671" s="1">
        <v>40</v>
      </c>
      <c r="E671" s="1" t="s">
        <v>43</v>
      </c>
      <c r="F671" s="1">
        <v>0</v>
      </c>
      <c r="G671" s="1" t="s">
        <v>2327</v>
      </c>
      <c r="H671" s="1" t="s">
        <v>2122</v>
      </c>
      <c r="I671" s="1" t="str">
        <f>HYPERLINK("https://www.systembolaget.se/produkt/alkoholfritt/chavin-spritz-1194104/","https://www.systembolaget.se/produkt/alkoholfritt/chavin-spritz-1194104/")</f>
        <v>https://www.systembolaget.se/produkt/alkoholfritt/chavin-spritz-1194104/</v>
      </c>
      <c r="J671" s="1"/>
      <c r="K671" s="1">
        <v>2.5</v>
      </c>
      <c r="L671" s="2">
        <v>46136</v>
      </c>
      <c r="M671" s="1" t="s">
        <v>2328</v>
      </c>
      <c r="N671" s="1">
        <v>0.03</v>
      </c>
      <c r="O671" s="1">
        <v>200</v>
      </c>
      <c r="P671" s="1">
        <v>0.5</v>
      </c>
      <c r="Q671" s="1" t="s">
        <v>1579</v>
      </c>
      <c r="R671" s="1" t="s">
        <v>2199</v>
      </c>
      <c r="S671" s="1" t="s">
        <v>2200</v>
      </c>
      <c r="T671" s="1"/>
      <c r="U671" s="1" t="s">
        <v>101</v>
      </c>
      <c r="V671" s="1"/>
      <c r="W671" s="1"/>
      <c r="X671" s="1" t="s">
        <v>2201</v>
      </c>
      <c r="Y671" s="1" t="s">
        <v>285</v>
      </c>
      <c r="Z671" s="1" t="s">
        <v>43</v>
      </c>
      <c r="AA671" s="1"/>
      <c r="AB671" s="1" t="s">
        <v>44</v>
      </c>
      <c r="AC671" s="1" t="s">
        <v>1919</v>
      </c>
      <c r="AD671" s="1" t="s">
        <v>43</v>
      </c>
      <c r="AE671" s="1" t="s">
        <v>43</v>
      </c>
      <c r="AF671" s="1">
        <v>75</v>
      </c>
      <c r="AG671" s="1" t="s">
        <v>43</v>
      </c>
      <c r="AH671" s="2">
        <v>46157</v>
      </c>
    </row>
    <row r="672" spans="1:34" x14ac:dyDescent="0.3">
      <c r="A672" s="1">
        <v>8453102</v>
      </c>
      <c r="B672" s="1">
        <v>2.4700000000000002</v>
      </c>
      <c r="C672" s="1">
        <v>395</v>
      </c>
      <c r="D672" s="1">
        <v>405</v>
      </c>
      <c r="E672" s="1" t="s">
        <v>34</v>
      </c>
      <c r="F672" s="1">
        <v>0</v>
      </c>
      <c r="G672" s="1" t="s">
        <v>2329</v>
      </c>
      <c r="H672" s="1"/>
      <c r="I672" s="1" t="str">
        <f>HYPERLINK("https://www.systembolaget.se/produkt/sprit/strandang-8453102/","https://www.systembolaget.se/produkt/sprit/strandang-8453102/")</f>
        <v>https://www.systembolaget.se/produkt/sprit/strandang-8453102/</v>
      </c>
      <c r="J672" s="1">
        <v>0</v>
      </c>
      <c r="K672" s="1">
        <v>2.4700000000000002</v>
      </c>
      <c r="L672" s="2">
        <v>45698</v>
      </c>
      <c r="M672" s="1" t="s">
        <v>2330</v>
      </c>
      <c r="N672" s="1">
        <v>0.5</v>
      </c>
      <c r="O672" s="1">
        <v>500</v>
      </c>
      <c r="P672" s="1">
        <v>39.5</v>
      </c>
      <c r="Q672" s="1" t="s">
        <v>308</v>
      </c>
      <c r="R672" s="1" t="s">
        <v>487</v>
      </c>
      <c r="S672" s="1" t="s">
        <v>488</v>
      </c>
      <c r="T672" s="1"/>
      <c r="U672" s="1" t="s">
        <v>110</v>
      </c>
      <c r="V672" s="1"/>
      <c r="W672" s="1"/>
      <c r="X672" s="1" t="s">
        <v>2331</v>
      </c>
      <c r="Y672" s="1" t="s">
        <v>2332</v>
      </c>
      <c r="Z672" s="1" t="s">
        <v>43</v>
      </c>
      <c r="AA672" s="1"/>
      <c r="AB672" s="1" t="s">
        <v>44</v>
      </c>
      <c r="AC672" s="1" t="s">
        <v>45</v>
      </c>
      <c r="AD672" s="1" t="s">
        <v>46</v>
      </c>
      <c r="AE672" s="1" t="s">
        <v>43</v>
      </c>
      <c r="AF672" s="1">
        <v>2</v>
      </c>
      <c r="AG672" s="1" t="s">
        <v>43</v>
      </c>
      <c r="AH672" s="2">
        <v>45705</v>
      </c>
    </row>
    <row r="673" spans="1:34" x14ac:dyDescent="0.3">
      <c r="A673" s="1">
        <v>3027602</v>
      </c>
      <c r="B673" s="1">
        <v>2.4500000000000002</v>
      </c>
      <c r="C673" s="1">
        <v>199</v>
      </c>
      <c r="D673" s="1">
        <v>204</v>
      </c>
      <c r="E673" s="1" t="s">
        <v>43</v>
      </c>
      <c r="F673" s="1">
        <v>0</v>
      </c>
      <c r="G673" s="1" t="s">
        <v>2191</v>
      </c>
      <c r="H673" s="1" t="s">
        <v>2333</v>
      </c>
      <c r="I673" s="1" t="str">
        <f>HYPERLINK("https://www.systembolaget.se/produkt/sprit/olsbo-gardsbryggeri-3027602/","https://www.systembolaget.se/produkt/sprit/olsbo-gardsbryggeri-3027602/")</f>
        <v>https://www.systembolaget.se/produkt/sprit/olsbo-gardsbryggeri-3027602/</v>
      </c>
      <c r="J673" s="1"/>
      <c r="K673" s="1">
        <v>2.4500000000000002</v>
      </c>
      <c r="L673" s="2">
        <v>46125</v>
      </c>
      <c r="M673" s="1" t="s">
        <v>2334</v>
      </c>
      <c r="N673" s="1">
        <v>0.44</v>
      </c>
      <c r="O673" s="1">
        <v>350</v>
      </c>
      <c r="P673" s="1">
        <v>25</v>
      </c>
      <c r="Q673" s="1" t="s">
        <v>308</v>
      </c>
      <c r="R673" s="1" t="s">
        <v>1645</v>
      </c>
      <c r="S673" s="1" t="s">
        <v>1646</v>
      </c>
      <c r="T673" s="1"/>
      <c r="U673" s="1" t="s">
        <v>110</v>
      </c>
      <c r="V673" s="1" t="s">
        <v>2194</v>
      </c>
      <c r="W673" s="1" t="s">
        <v>2195</v>
      </c>
      <c r="X673" s="1" t="s">
        <v>2191</v>
      </c>
      <c r="Y673" s="1" t="s">
        <v>2196</v>
      </c>
      <c r="Z673" s="1" t="s">
        <v>46</v>
      </c>
      <c r="AA673" s="1"/>
      <c r="AB673" s="1" t="s">
        <v>77</v>
      </c>
      <c r="AC673" s="1" t="s">
        <v>115</v>
      </c>
      <c r="AD673" s="1" t="s">
        <v>43</v>
      </c>
      <c r="AE673" s="1" t="s">
        <v>43</v>
      </c>
      <c r="AF673" s="1">
        <v>5</v>
      </c>
      <c r="AG673" s="1" t="s">
        <v>43</v>
      </c>
      <c r="AH673" s="2">
        <v>46146</v>
      </c>
    </row>
    <row r="674" spans="1:34" x14ac:dyDescent="0.3">
      <c r="A674" s="1">
        <v>5184501</v>
      </c>
      <c r="B674" s="1">
        <v>2.4500000000000002</v>
      </c>
      <c r="C674" s="1">
        <v>239</v>
      </c>
      <c r="D674" s="1">
        <v>245</v>
      </c>
      <c r="E674" s="1" t="s">
        <v>43</v>
      </c>
      <c r="F674" s="1">
        <v>6</v>
      </c>
      <c r="G674" s="1" t="s">
        <v>2335</v>
      </c>
      <c r="H674" s="1" t="s">
        <v>2336</v>
      </c>
      <c r="I674" s="1" t="str">
        <f>HYPERLINK("https://www.systembolaget.se/produkt/vin/cibonne-5184501/","https://www.systembolaget.se/produkt/vin/cibonne-5184501/")</f>
        <v>https://www.systembolaget.se/produkt/vin/cibonne-5184501/</v>
      </c>
      <c r="J674" s="1">
        <v>-4.37</v>
      </c>
      <c r="K674" s="1">
        <v>2.4500000000000002</v>
      </c>
      <c r="L674" s="2">
        <v>45389</v>
      </c>
      <c r="M674" s="1" t="s">
        <v>2337</v>
      </c>
      <c r="N674" s="1">
        <v>0.41</v>
      </c>
      <c r="O674" s="1">
        <v>750</v>
      </c>
      <c r="P674" s="1">
        <v>13</v>
      </c>
      <c r="Q674" s="1" t="s">
        <v>38</v>
      </c>
      <c r="R674" s="1" t="s">
        <v>80</v>
      </c>
      <c r="S674" s="1"/>
      <c r="T674" s="1"/>
      <c r="U674" s="1" t="s">
        <v>101</v>
      </c>
      <c r="V674" s="1" t="s">
        <v>331</v>
      </c>
      <c r="W674" s="1" t="s">
        <v>1347</v>
      </c>
      <c r="X674" s="1" t="s">
        <v>2338</v>
      </c>
      <c r="Y674" s="1" t="s">
        <v>2339</v>
      </c>
      <c r="Z674" s="1" t="s">
        <v>46</v>
      </c>
      <c r="AA674" s="1">
        <v>2025</v>
      </c>
      <c r="AB674" s="1" t="s">
        <v>44</v>
      </c>
      <c r="AC674" s="1" t="s">
        <v>45</v>
      </c>
      <c r="AD674" s="1" t="s">
        <v>43</v>
      </c>
      <c r="AE674" s="1" t="s">
        <v>43</v>
      </c>
      <c r="AF674" s="1"/>
      <c r="AG674" s="1" t="s">
        <v>43</v>
      </c>
      <c r="AH674" s="2">
        <v>45061</v>
      </c>
    </row>
    <row r="675" spans="1:34" x14ac:dyDescent="0.3">
      <c r="A675" s="1">
        <v>3083135</v>
      </c>
      <c r="B675" s="1">
        <v>2.44</v>
      </c>
      <c r="C675" s="1">
        <v>28</v>
      </c>
      <c r="D675" s="1">
        <v>28.7</v>
      </c>
      <c r="E675" s="1" t="s">
        <v>43</v>
      </c>
      <c r="F675" s="1">
        <v>0</v>
      </c>
      <c r="G675" s="1" t="s">
        <v>2340</v>
      </c>
      <c r="H675" s="1" t="s">
        <v>2341</v>
      </c>
      <c r="I675" s="1" t="str">
        <f>HYPERLINK("https://www.systembolaget.se/produkt/ol/en-aleigen-brewery-3083135/","https://www.systembolaget.se/produkt/ol/en-aleigen-brewery-3083135/")</f>
        <v>https://www.systembolaget.se/produkt/ol/en-aleigen-brewery-3083135/</v>
      </c>
      <c r="J675" s="1"/>
      <c r="K675" s="1">
        <v>2.44</v>
      </c>
      <c r="L675" s="2">
        <v>46188</v>
      </c>
      <c r="M675" s="1" t="s">
        <v>2342</v>
      </c>
      <c r="N675" s="1">
        <v>0.59</v>
      </c>
      <c r="O675" s="1">
        <v>330</v>
      </c>
      <c r="P675" s="1">
        <v>5</v>
      </c>
      <c r="Q675" s="1" t="s">
        <v>107</v>
      </c>
      <c r="R675" s="1" t="s">
        <v>1446</v>
      </c>
      <c r="S675" s="1" t="s">
        <v>2343</v>
      </c>
      <c r="T675" s="1"/>
      <c r="U675" s="1" t="s">
        <v>110</v>
      </c>
      <c r="V675" s="1" t="s">
        <v>136</v>
      </c>
      <c r="W675" s="1" t="s">
        <v>2011</v>
      </c>
      <c r="X675" s="1" t="s">
        <v>2340</v>
      </c>
      <c r="Y675" s="1" t="s">
        <v>2344</v>
      </c>
      <c r="Z675" s="1" t="s">
        <v>43</v>
      </c>
      <c r="AA675" s="1"/>
      <c r="AB675" s="1" t="s">
        <v>114</v>
      </c>
      <c r="AC675" s="1" t="s">
        <v>115</v>
      </c>
      <c r="AD675" s="1" t="s">
        <v>43</v>
      </c>
      <c r="AE675" s="1" t="s">
        <v>43</v>
      </c>
      <c r="AF675" s="1"/>
      <c r="AG675" s="1" t="s">
        <v>43</v>
      </c>
      <c r="AH675" s="2">
        <v>46209</v>
      </c>
    </row>
    <row r="676" spans="1:34" x14ac:dyDescent="0.3">
      <c r="A676" s="1">
        <v>751806</v>
      </c>
      <c r="B676" s="1">
        <v>2.44</v>
      </c>
      <c r="C676" s="1">
        <v>1199</v>
      </c>
      <c r="D676" s="1">
        <v>1229</v>
      </c>
      <c r="E676" s="1" t="s">
        <v>43</v>
      </c>
      <c r="F676" s="1">
        <v>0</v>
      </c>
      <c r="G676" s="1" t="s">
        <v>2345</v>
      </c>
      <c r="H676" s="1" t="s">
        <v>2346</v>
      </c>
      <c r="I676" s="1" t="str">
        <f>HYPERLINK("https://www.systembolaget.se/produkt/vin/moet-chandon-751806/","https://www.systembolaget.se/produkt/vin/moet-chandon-751806/")</f>
        <v>https://www.systembolaget.se/produkt/vin/moet-chandon-751806/</v>
      </c>
      <c r="J676" s="1">
        <v>0</v>
      </c>
      <c r="K676" s="1">
        <v>2.44</v>
      </c>
      <c r="L676" s="2">
        <v>45389</v>
      </c>
      <c r="M676" s="1" t="s">
        <v>2347</v>
      </c>
      <c r="N676" s="1">
        <v>0.16</v>
      </c>
      <c r="O676" s="1">
        <v>1500</v>
      </c>
      <c r="P676" s="1">
        <v>12.5</v>
      </c>
      <c r="Q676" s="1" t="s">
        <v>38</v>
      </c>
      <c r="R676" s="1" t="s">
        <v>61</v>
      </c>
      <c r="S676" s="1" t="s">
        <v>68</v>
      </c>
      <c r="T676" s="1"/>
      <c r="U676" s="1" t="s">
        <v>101</v>
      </c>
      <c r="V676" s="1" t="s">
        <v>346</v>
      </c>
      <c r="W676" s="1"/>
      <c r="X676" s="1" t="s">
        <v>2345</v>
      </c>
      <c r="Y676" s="1" t="s">
        <v>2348</v>
      </c>
      <c r="Z676" s="1" t="s">
        <v>43</v>
      </c>
      <c r="AA676" s="1"/>
      <c r="AB676" s="1" t="s">
        <v>375</v>
      </c>
      <c r="AC676" s="1" t="s">
        <v>90</v>
      </c>
      <c r="AD676" s="1" t="s">
        <v>43</v>
      </c>
      <c r="AE676" s="1" t="s">
        <v>43</v>
      </c>
      <c r="AF676" s="1">
        <v>5</v>
      </c>
      <c r="AG676" s="1" t="s">
        <v>43</v>
      </c>
      <c r="AH676" s="2">
        <v>20363</v>
      </c>
    </row>
    <row r="677" spans="1:34" x14ac:dyDescent="0.3">
      <c r="A677" s="1">
        <v>7898301</v>
      </c>
      <c r="B677" s="1">
        <v>2.39</v>
      </c>
      <c r="C677" s="1">
        <v>245</v>
      </c>
      <c r="D677" s="1">
        <v>251</v>
      </c>
      <c r="E677" s="1" t="s">
        <v>43</v>
      </c>
      <c r="F677" s="1">
        <v>0</v>
      </c>
      <c r="G677" s="1" t="s">
        <v>2349</v>
      </c>
      <c r="H677" s="1" t="s">
        <v>183</v>
      </c>
      <c r="I677" s="1" t="str">
        <f>HYPERLINK("https://www.systembolaget.se/produkt/vin/black-oystercatcher-7898301/","https://www.systembolaget.se/produkt/vin/black-oystercatcher-7898301/")</f>
        <v>https://www.systembolaget.se/produkt/vin/black-oystercatcher-7898301/</v>
      </c>
      <c r="J677" s="1">
        <v>3.92</v>
      </c>
      <c r="K677" s="1">
        <v>2.39</v>
      </c>
      <c r="L677" s="2">
        <v>45458</v>
      </c>
      <c r="M677" s="1" t="s">
        <v>2350</v>
      </c>
      <c r="N677" s="1">
        <v>0.4</v>
      </c>
      <c r="O677" s="1">
        <v>750</v>
      </c>
      <c r="P677" s="1">
        <v>13</v>
      </c>
      <c r="Q677" s="1" t="s">
        <v>38</v>
      </c>
      <c r="R677" s="1" t="s">
        <v>39</v>
      </c>
      <c r="S677" s="1"/>
      <c r="T677" s="1"/>
      <c r="U677" s="1" t="s">
        <v>289</v>
      </c>
      <c r="V677" s="1" t="s">
        <v>290</v>
      </c>
      <c r="W677" s="1" t="s">
        <v>1983</v>
      </c>
      <c r="X677" s="1" t="s">
        <v>2351</v>
      </c>
      <c r="Y677" s="1" t="s">
        <v>1956</v>
      </c>
      <c r="Z677" s="1" t="s">
        <v>43</v>
      </c>
      <c r="AA677" s="1">
        <v>2024</v>
      </c>
      <c r="AB677" s="1" t="s">
        <v>44</v>
      </c>
      <c r="AC677" s="1" t="s">
        <v>45</v>
      </c>
      <c r="AD677" s="1" t="s">
        <v>43</v>
      </c>
      <c r="AE677" s="1" t="s">
        <v>43</v>
      </c>
      <c r="AF677" s="1"/>
      <c r="AG677" s="1" t="s">
        <v>43</v>
      </c>
      <c r="AH677" s="2">
        <v>44048</v>
      </c>
    </row>
    <row r="678" spans="1:34" x14ac:dyDescent="0.3">
      <c r="A678" s="1">
        <v>3039003</v>
      </c>
      <c r="B678" s="1">
        <v>2.37</v>
      </c>
      <c r="C678" s="1">
        <v>33</v>
      </c>
      <c r="D678" s="1">
        <v>33.799999999999997</v>
      </c>
      <c r="E678" s="1" t="s">
        <v>43</v>
      </c>
      <c r="F678" s="1">
        <v>0</v>
      </c>
      <c r="G678" s="1" t="s">
        <v>2340</v>
      </c>
      <c r="H678" s="1" t="s">
        <v>2150</v>
      </c>
      <c r="I678" s="1" t="str">
        <f>HYPERLINK("https://www.systembolaget.se/produkt/ol/en-aleigen-brewery-3039003/","https://www.systembolaget.se/produkt/ol/en-aleigen-brewery-3039003/")</f>
        <v>https://www.systembolaget.se/produkt/ol/en-aleigen-brewery-3039003/</v>
      </c>
      <c r="J678" s="1">
        <v>2.37</v>
      </c>
      <c r="K678" s="1">
        <v>2.37</v>
      </c>
      <c r="L678" s="2">
        <v>45726</v>
      </c>
      <c r="M678" s="1" t="s">
        <v>2352</v>
      </c>
      <c r="N678" s="1">
        <v>0.56000000000000005</v>
      </c>
      <c r="O678" s="1">
        <v>330</v>
      </c>
      <c r="P678" s="1">
        <v>5.6</v>
      </c>
      <c r="Q678" s="1" t="s">
        <v>107</v>
      </c>
      <c r="R678" s="1" t="s">
        <v>108</v>
      </c>
      <c r="S678" s="1" t="s">
        <v>2353</v>
      </c>
      <c r="T678" s="1"/>
      <c r="U678" s="1" t="s">
        <v>110</v>
      </c>
      <c r="V678" s="1" t="s">
        <v>136</v>
      </c>
      <c r="W678" s="1" t="s">
        <v>2011</v>
      </c>
      <c r="X678" s="1" t="s">
        <v>2340</v>
      </c>
      <c r="Y678" s="1" t="s">
        <v>2344</v>
      </c>
      <c r="Z678" s="1" t="s">
        <v>43</v>
      </c>
      <c r="AA678" s="1"/>
      <c r="AB678" s="1" t="s">
        <v>44</v>
      </c>
      <c r="AC678" s="1" t="s">
        <v>115</v>
      </c>
      <c r="AD678" s="1" t="s">
        <v>43</v>
      </c>
      <c r="AE678" s="1" t="s">
        <v>43</v>
      </c>
      <c r="AF678" s="1"/>
      <c r="AG678" s="1" t="s">
        <v>43</v>
      </c>
      <c r="AH678" s="2">
        <v>46097</v>
      </c>
    </row>
    <row r="679" spans="1:34" x14ac:dyDescent="0.3">
      <c r="A679" s="1">
        <v>3010403</v>
      </c>
      <c r="B679" s="1">
        <v>2.37</v>
      </c>
      <c r="C679" s="1">
        <v>33</v>
      </c>
      <c r="D679" s="1">
        <v>33.799999999999997</v>
      </c>
      <c r="E679" s="1" t="s">
        <v>43</v>
      </c>
      <c r="F679" s="1">
        <v>0</v>
      </c>
      <c r="G679" s="1" t="s">
        <v>2340</v>
      </c>
      <c r="H679" s="1" t="s">
        <v>2354</v>
      </c>
      <c r="I679" s="1" t="str">
        <f>HYPERLINK("https://www.systembolaget.se/produkt/ol/en-aleigen-brewery-3010403/","https://www.systembolaget.se/produkt/ol/en-aleigen-brewery-3010403/")</f>
        <v>https://www.systembolaget.se/produkt/ol/en-aleigen-brewery-3010403/</v>
      </c>
      <c r="J679" s="1">
        <v>2.37</v>
      </c>
      <c r="K679" s="1">
        <v>2.37</v>
      </c>
      <c r="L679" s="2">
        <v>45943</v>
      </c>
      <c r="M679" s="1" t="s">
        <v>2355</v>
      </c>
      <c r="N679" s="1">
        <v>0.59</v>
      </c>
      <c r="O679" s="1">
        <v>330</v>
      </c>
      <c r="P679" s="1">
        <v>5.9</v>
      </c>
      <c r="Q679" s="1" t="s">
        <v>107</v>
      </c>
      <c r="R679" s="1" t="s">
        <v>108</v>
      </c>
      <c r="S679" s="1" t="s">
        <v>2356</v>
      </c>
      <c r="T679" s="1"/>
      <c r="U679" s="1" t="s">
        <v>110</v>
      </c>
      <c r="V679" s="1" t="s">
        <v>136</v>
      </c>
      <c r="W679" s="1" t="s">
        <v>2011</v>
      </c>
      <c r="X679" s="1" t="s">
        <v>2340</v>
      </c>
      <c r="Y679" s="1" t="s">
        <v>2344</v>
      </c>
      <c r="Z679" s="1" t="s">
        <v>43</v>
      </c>
      <c r="AA679" s="1"/>
      <c r="AB679" s="1" t="s">
        <v>44</v>
      </c>
      <c r="AC679" s="1" t="s">
        <v>115</v>
      </c>
      <c r="AD679" s="1" t="s">
        <v>43</v>
      </c>
      <c r="AE679" s="1" t="s">
        <v>43</v>
      </c>
      <c r="AF679" s="1"/>
      <c r="AG679" s="1" t="s">
        <v>43</v>
      </c>
      <c r="AH679" s="2">
        <v>45964</v>
      </c>
    </row>
    <row r="680" spans="1:34" x14ac:dyDescent="0.3">
      <c r="A680" s="1">
        <v>3278302</v>
      </c>
      <c r="B680" s="1">
        <v>2.35</v>
      </c>
      <c r="C680" s="1">
        <v>249</v>
      </c>
      <c r="D680" s="1">
        <v>255</v>
      </c>
      <c r="E680" s="1" t="s">
        <v>43</v>
      </c>
      <c r="F680" s="1">
        <v>0</v>
      </c>
      <c r="G680" s="1" t="s">
        <v>1790</v>
      </c>
      <c r="H680" s="1" t="s">
        <v>2357</v>
      </c>
      <c r="I680" s="1" t="str">
        <f>HYPERLINK("https://www.systembolaget.se/produkt/vin/skanska-spritfabriken-3278302/","https://www.systembolaget.se/produkt/vin/skanska-spritfabriken-3278302/")</f>
        <v>https://www.systembolaget.se/produkt/vin/skanska-spritfabriken-3278302/</v>
      </c>
      <c r="J680" s="1">
        <v>1.97</v>
      </c>
      <c r="K680" s="1">
        <v>2.35</v>
      </c>
      <c r="L680" s="2">
        <v>45978</v>
      </c>
      <c r="M680" s="1" t="s">
        <v>2358</v>
      </c>
      <c r="N680" s="1">
        <v>0.4</v>
      </c>
      <c r="O680" s="1">
        <v>500</v>
      </c>
      <c r="P680" s="1">
        <v>20</v>
      </c>
      <c r="Q680" s="1" t="s">
        <v>38</v>
      </c>
      <c r="R680" s="1" t="s">
        <v>1157</v>
      </c>
      <c r="S680" s="1"/>
      <c r="T680" s="1"/>
      <c r="U680" s="1" t="s">
        <v>110</v>
      </c>
      <c r="V680" s="1" t="s">
        <v>694</v>
      </c>
      <c r="W680" s="1" t="s">
        <v>878</v>
      </c>
      <c r="X680" s="1" t="s">
        <v>1790</v>
      </c>
      <c r="Y680" s="1" t="s">
        <v>1790</v>
      </c>
      <c r="Z680" s="1" t="s">
        <v>43</v>
      </c>
      <c r="AA680" s="1"/>
      <c r="AB680" s="1" t="s">
        <v>77</v>
      </c>
      <c r="AC680" s="1" t="s">
        <v>115</v>
      </c>
      <c r="AD680" s="1" t="s">
        <v>43</v>
      </c>
      <c r="AE680" s="1" t="s">
        <v>43</v>
      </c>
      <c r="AF680" s="1">
        <v>122</v>
      </c>
      <c r="AG680" s="1" t="s">
        <v>43</v>
      </c>
      <c r="AH680" s="2">
        <v>45999</v>
      </c>
    </row>
    <row r="681" spans="1:34" x14ac:dyDescent="0.3">
      <c r="A681" s="1">
        <v>5202301</v>
      </c>
      <c r="B681" s="1">
        <v>2.33</v>
      </c>
      <c r="C681" s="1">
        <v>419</v>
      </c>
      <c r="D681" s="1">
        <v>429</v>
      </c>
      <c r="E681" s="1" t="s">
        <v>43</v>
      </c>
      <c r="F681" s="1">
        <v>0</v>
      </c>
      <c r="G681" s="1" t="s">
        <v>2359</v>
      </c>
      <c r="H681" s="1" t="s">
        <v>2360</v>
      </c>
      <c r="I681" s="1" t="str">
        <f>HYPERLINK("https://www.systembolaget.se/produkt/vin/sacrantino-5202301/","https://www.systembolaget.se/produkt/vin/sacrantino-5202301/")</f>
        <v>https://www.systembolaget.se/produkt/vin/sacrantino-5202301/</v>
      </c>
      <c r="J681" s="1">
        <v>8.7100000000000009</v>
      </c>
      <c r="K681" s="1">
        <v>2.33</v>
      </c>
      <c r="L681" s="2">
        <v>45480</v>
      </c>
      <c r="M681" s="1" t="s">
        <v>2361</v>
      </c>
      <c r="N681" s="1">
        <v>0.26</v>
      </c>
      <c r="O681" s="1">
        <v>750</v>
      </c>
      <c r="P681" s="1">
        <v>14.5</v>
      </c>
      <c r="Q681" s="1" t="s">
        <v>38</v>
      </c>
      <c r="R681" s="1" t="s">
        <v>52</v>
      </c>
      <c r="S681" s="1"/>
      <c r="T681" s="1"/>
      <c r="U681" s="1" t="s">
        <v>53</v>
      </c>
      <c r="V681" s="1" t="s">
        <v>2362</v>
      </c>
      <c r="W681" s="1" t="s">
        <v>2363</v>
      </c>
      <c r="X681" s="1" t="s">
        <v>2364</v>
      </c>
      <c r="Y681" s="1" t="s">
        <v>64</v>
      </c>
      <c r="Z681" s="1" t="s">
        <v>43</v>
      </c>
      <c r="AA681" s="1">
        <v>2016</v>
      </c>
      <c r="AB681" s="1" t="s">
        <v>44</v>
      </c>
      <c r="AC681" s="1" t="s">
        <v>45</v>
      </c>
      <c r="AD681" s="1" t="s">
        <v>43</v>
      </c>
      <c r="AE681" s="1" t="s">
        <v>43</v>
      </c>
      <c r="AF681" s="1"/>
      <c r="AG681" s="1" t="s">
        <v>43</v>
      </c>
      <c r="AH681" s="2">
        <v>44368</v>
      </c>
    </row>
    <row r="682" spans="1:34" x14ac:dyDescent="0.3">
      <c r="A682" s="1">
        <v>7536601</v>
      </c>
      <c r="B682" s="1">
        <v>2.3199999999999998</v>
      </c>
      <c r="C682" s="1">
        <v>295</v>
      </c>
      <c r="D682" s="1">
        <v>302</v>
      </c>
      <c r="E682" s="1" t="s">
        <v>43</v>
      </c>
      <c r="F682" s="1">
        <v>0</v>
      </c>
      <c r="G682" s="1" t="s">
        <v>2365</v>
      </c>
      <c r="H682" s="1" t="s">
        <v>281</v>
      </c>
      <c r="I682" s="1" t="str">
        <f>HYPERLINK("https://www.systembolaget.se/produkt/vin/lelie-van-saron-7536601/","https://www.systembolaget.se/produkt/vin/lelie-van-saron-7536601/")</f>
        <v>https://www.systembolaget.se/produkt/vin/lelie-van-saron-7536601/</v>
      </c>
      <c r="J682" s="1"/>
      <c r="K682" s="1">
        <v>2.3199999999999998</v>
      </c>
      <c r="L682" s="2">
        <v>46028</v>
      </c>
      <c r="M682" s="1" t="s">
        <v>2366</v>
      </c>
      <c r="N682" s="1">
        <v>0.32</v>
      </c>
      <c r="O682" s="1">
        <v>750</v>
      </c>
      <c r="P682" s="1">
        <v>12.5</v>
      </c>
      <c r="Q682" s="1" t="s">
        <v>38</v>
      </c>
      <c r="R682" s="1" t="s">
        <v>39</v>
      </c>
      <c r="S682" s="1"/>
      <c r="T682" s="1"/>
      <c r="U682" s="1" t="s">
        <v>289</v>
      </c>
      <c r="V682" s="1" t="s">
        <v>290</v>
      </c>
      <c r="W682" s="1" t="s">
        <v>2367</v>
      </c>
      <c r="X682" s="1" t="s">
        <v>2368</v>
      </c>
      <c r="Y682" s="1" t="s">
        <v>1956</v>
      </c>
      <c r="Z682" s="1" t="s">
        <v>43</v>
      </c>
      <c r="AA682" s="1">
        <v>2023</v>
      </c>
      <c r="AB682" s="1" t="s">
        <v>44</v>
      </c>
      <c r="AC682" s="1" t="s">
        <v>45</v>
      </c>
      <c r="AD682" s="1" t="s">
        <v>43</v>
      </c>
      <c r="AE682" s="1" t="s">
        <v>43</v>
      </c>
      <c r="AF682" s="1"/>
      <c r="AG682" s="1" t="s">
        <v>43</v>
      </c>
      <c r="AH682" s="2">
        <v>46035</v>
      </c>
    </row>
    <row r="683" spans="1:34" x14ac:dyDescent="0.3">
      <c r="A683" s="1">
        <v>7634201</v>
      </c>
      <c r="B683" s="1">
        <v>2.2999999999999998</v>
      </c>
      <c r="C683" s="1">
        <v>255</v>
      </c>
      <c r="D683" s="1">
        <v>261</v>
      </c>
      <c r="E683" s="1" t="s">
        <v>459</v>
      </c>
      <c r="F683" s="1">
        <v>0</v>
      </c>
      <c r="G683" s="1" t="s">
        <v>2369</v>
      </c>
      <c r="H683" s="1" t="s">
        <v>2370</v>
      </c>
      <c r="I683" s="1" t="str">
        <f>HYPERLINK("https://www.systembolaget.se/produkt/vin/botanica-big-flower-7634201/","https://www.systembolaget.se/produkt/vin/botanica-big-flower-7634201/")</f>
        <v>https://www.systembolaget.se/produkt/vin/botanica-big-flower-7634201/</v>
      </c>
      <c r="J683" s="1"/>
      <c r="K683" s="1">
        <v>2.2999999999999998</v>
      </c>
      <c r="L683" s="2">
        <v>46076</v>
      </c>
      <c r="M683" s="1" t="s">
        <v>2371</v>
      </c>
      <c r="N683" s="1">
        <v>0.4</v>
      </c>
      <c r="O683" s="1">
        <v>750</v>
      </c>
      <c r="P683" s="1">
        <v>13.5</v>
      </c>
      <c r="Q683" s="1" t="s">
        <v>38</v>
      </c>
      <c r="R683" s="1" t="s">
        <v>52</v>
      </c>
      <c r="S683" s="1"/>
      <c r="T683" s="1"/>
      <c r="U683" s="1" t="s">
        <v>289</v>
      </c>
      <c r="V683" s="1" t="s">
        <v>290</v>
      </c>
      <c r="W683" s="1" t="s">
        <v>291</v>
      </c>
      <c r="X683" s="1" t="s">
        <v>1984</v>
      </c>
      <c r="Y683" s="1" t="s">
        <v>1956</v>
      </c>
      <c r="Z683" s="1" t="s">
        <v>43</v>
      </c>
      <c r="AA683" s="1">
        <v>2023</v>
      </c>
      <c r="AB683" s="1" t="s">
        <v>44</v>
      </c>
      <c r="AC683" s="1" t="s">
        <v>45</v>
      </c>
      <c r="AD683" s="1" t="s">
        <v>43</v>
      </c>
      <c r="AE683" s="1" t="s">
        <v>43</v>
      </c>
      <c r="AF683" s="1"/>
      <c r="AG683" s="1" t="s">
        <v>43</v>
      </c>
      <c r="AH683" s="2">
        <v>46083</v>
      </c>
    </row>
    <row r="684" spans="1:34" x14ac:dyDescent="0.3">
      <c r="A684" s="1">
        <v>1195035</v>
      </c>
      <c r="B684" s="1">
        <v>2.27</v>
      </c>
      <c r="C684" s="1">
        <v>12.9</v>
      </c>
      <c r="D684" s="1">
        <v>13.2</v>
      </c>
      <c r="E684" s="1" t="s">
        <v>43</v>
      </c>
      <c r="F684" s="1">
        <v>0</v>
      </c>
      <c r="G684" s="1" t="s">
        <v>2372</v>
      </c>
      <c r="H684" s="1" t="s">
        <v>2373</v>
      </c>
      <c r="I684" s="1" t="str">
        <f>HYPERLINK("https://www.systembolaget.se/produkt/alkoholfritt/halmstad-crush-mango-passion-1195035/","https://www.systembolaget.se/produkt/alkoholfritt/halmstad-crush-mango-passion-1195035/")</f>
        <v>https://www.systembolaget.se/produkt/alkoholfritt/halmstad-crush-mango-passion-1195035/</v>
      </c>
      <c r="J684" s="1"/>
      <c r="K684" s="1">
        <v>2.27</v>
      </c>
      <c r="L684" s="2">
        <v>46153</v>
      </c>
      <c r="M684" s="1" t="s">
        <v>2374</v>
      </c>
      <c r="N684" s="1">
        <v>0.13</v>
      </c>
      <c r="O684" s="1">
        <v>330</v>
      </c>
      <c r="P684" s="1">
        <v>0.5</v>
      </c>
      <c r="Q684" s="1" t="s">
        <v>1579</v>
      </c>
      <c r="R684" s="1" t="s">
        <v>2375</v>
      </c>
      <c r="S684" s="1" t="s">
        <v>663</v>
      </c>
      <c r="T684" s="1"/>
      <c r="U684" s="1" t="s">
        <v>110</v>
      </c>
      <c r="V684" s="1"/>
      <c r="W684" s="1"/>
      <c r="X684" s="1" t="s">
        <v>2376</v>
      </c>
      <c r="Y684" s="1" t="s">
        <v>2377</v>
      </c>
      <c r="Z684" s="1" t="s">
        <v>43</v>
      </c>
      <c r="AA684" s="1"/>
      <c r="AB684" s="1" t="s">
        <v>114</v>
      </c>
      <c r="AC684" s="1" t="s">
        <v>90</v>
      </c>
      <c r="AD684" s="1" t="s">
        <v>43</v>
      </c>
      <c r="AE684" s="1" t="s">
        <v>43</v>
      </c>
      <c r="AF684" s="1">
        <v>49</v>
      </c>
      <c r="AG684" s="1" t="s">
        <v>43</v>
      </c>
      <c r="AH684" s="2">
        <v>46174</v>
      </c>
    </row>
    <row r="685" spans="1:34" x14ac:dyDescent="0.3">
      <c r="A685" s="1">
        <v>3072935</v>
      </c>
      <c r="B685" s="1">
        <v>2.2599999999999998</v>
      </c>
      <c r="C685" s="1">
        <v>39</v>
      </c>
      <c r="D685" s="1">
        <v>39.9</v>
      </c>
      <c r="E685" s="1" t="s">
        <v>43</v>
      </c>
      <c r="F685" s="1">
        <v>0</v>
      </c>
      <c r="G685" s="1" t="s">
        <v>625</v>
      </c>
      <c r="H685" s="1" t="s">
        <v>2378</v>
      </c>
      <c r="I685" s="1" t="str">
        <f>HYPERLINK("https://www.systembolaget.se/produkt/ol/bearded-rabbit-brewery-3072935/","https://www.systembolaget.se/produkt/ol/bearded-rabbit-brewery-3072935/")</f>
        <v>https://www.systembolaget.se/produkt/ol/bearded-rabbit-brewery-3072935/</v>
      </c>
      <c r="J685" s="1"/>
      <c r="K685" s="1">
        <v>2.2599999999999998</v>
      </c>
      <c r="L685" s="2">
        <v>46160</v>
      </c>
      <c r="M685" s="1" t="s">
        <v>2379</v>
      </c>
      <c r="N685" s="1">
        <v>0.55000000000000004</v>
      </c>
      <c r="O685" s="1">
        <v>330</v>
      </c>
      <c r="P685" s="1">
        <v>6.5</v>
      </c>
      <c r="Q685" s="1" t="s">
        <v>107</v>
      </c>
      <c r="R685" s="1" t="s">
        <v>108</v>
      </c>
      <c r="S685" s="1" t="s">
        <v>1562</v>
      </c>
      <c r="T685" s="1"/>
      <c r="U685" s="1" t="s">
        <v>110</v>
      </c>
      <c r="V685" s="1" t="s">
        <v>136</v>
      </c>
      <c r="W685" s="1" t="s">
        <v>137</v>
      </c>
      <c r="X685" s="1" t="s">
        <v>625</v>
      </c>
      <c r="Y685" s="1" t="s">
        <v>628</v>
      </c>
      <c r="Z685" s="1" t="s">
        <v>43</v>
      </c>
      <c r="AA685" s="1"/>
      <c r="AB685" s="1" t="s">
        <v>114</v>
      </c>
      <c r="AC685" s="1" t="s">
        <v>115</v>
      </c>
      <c r="AD685" s="1" t="s">
        <v>43</v>
      </c>
      <c r="AE685" s="1" t="s">
        <v>43</v>
      </c>
      <c r="AF685" s="1"/>
      <c r="AG685" s="1" t="s">
        <v>43</v>
      </c>
      <c r="AH685" s="2">
        <v>46181</v>
      </c>
    </row>
    <row r="686" spans="1:34" x14ac:dyDescent="0.3">
      <c r="A686" s="1">
        <v>250001</v>
      </c>
      <c r="B686" s="1">
        <v>2.25</v>
      </c>
      <c r="C686" s="1">
        <v>87</v>
      </c>
      <c r="D686" s="1">
        <v>89</v>
      </c>
      <c r="E686" s="1" t="s">
        <v>43</v>
      </c>
      <c r="F686" s="1">
        <v>0</v>
      </c>
      <c r="G686" s="1" t="s">
        <v>2380</v>
      </c>
      <c r="H686" s="1" t="s">
        <v>2381</v>
      </c>
      <c r="I686" s="1" t="str">
        <f>HYPERLINK("https://www.systembolaget.se/produkt/vin/cotes-du-rhone-villages-250001/","https://www.systembolaget.se/produkt/vin/cotes-du-rhone-villages-250001/")</f>
        <v>https://www.systembolaget.se/produkt/vin/cotes-du-rhone-villages-250001/</v>
      </c>
      <c r="J686" s="1">
        <v>8.42</v>
      </c>
      <c r="K686" s="1">
        <v>2.25</v>
      </c>
      <c r="L686" s="2">
        <v>45389</v>
      </c>
      <c r="M686" s="1" t="s">
        <v>2382</v>
      </c>
      <c r="N686" s="1">
        <v>1.21</v>
      </c>
      <c r="O686" s="1">
        <v>750</v>
      </c>
      <c r="P686" s="1">
        <v>14</v>
      </c>
      <c r="Q686" s="1" t="s">
        <v>38</v>
      </c>
      <c r="R686" s="1" t="s">
        <v>52</v>
      </c>
      <c r="S686" s="1" t="s">
        <v>84</v>
      </c>
      <c r="T686" s="1"/>
      <c r="U686" s="1" t="s">
        <v>101</v>
      </c>
      <c r="V686" s="1" t="s">
        <v>474</v>
      </c>
      <c r="W686" s="1" t="s">
        <v>559</v>
      </c>
      <c r="X686" s="1" t="s">
        <v>153</v>
      </c>
      <c r="Y686" s="1" t="s">
        <v>153</v>
      </c>
      <c r="Z686" s="1" t="s">
        <v>43</v>
      </c>
      <c r="AA686" s="1">
        <v>2024</v>
      </c>
      <c r="AB686" s="1" t="s">
        <v>1709</v>
      </c>
      <c r="AC686" s="1" t="s">
        <v>90</v>
      </c>
      <c r="AD686" s="1" t="s">
        <v>43</v>
      </c>
      <c r="AE686" s="1" t="s">
        <v>43</v>
      </c>
      <c r="AF686" s="1">
        <v>2</v>
      </c>
      <c r="AG686" s="1" t="s">
        <v>43</v>
      </c>
      <c r="AH686" s="2">
        <v>44075</v>
      </c>
    </row>
    <row r="687" spans="1:34" x14ac:dyDescent="0.3">
      <c r="A687" s="1">
        <v>3233402</v>
      </c>
      <c r="B687" s="1">
        <v>2.23</v>
      </c>
      <c r="C687" s="1">
        <v>263</v>
      </c>
      <c r="D687" s="1">
        <v>269</v>
      </c>
      <c r="E687" s="1" t="s">
        <v>43</v>
      </c>
      <c r="F687" s="1">
        <v>0</v>
      </c>
      <c r="G687" s="1" t="s">
        <v>2383</v>
      </c>
      <c r="H687" s="1" t="s">
        <v>2384</v>
      </c>
      <c r="I687" s="1" t="str">
        <f>HYPERLINK("https://www.systembolaget.se/produkt/sprit/svenska-sprit-3233402/","https://www.systembolaget.se/produkt/sprit/svenska-sprit-3233402/")</f>
        <v>https://www.systembolaget.se/produkt/sprit/svenska-sprit-3233402/</v>
      </c>
      <c r="J687" s="1">
        <v>1.1299999999999999</v>
      </c>
      <c r="K687" s="1">
        <v>2.23</v>
      </c>
      <c r="L687" s="2">
        <v>45887</v>
      </c>
      <c r="M687" s="1" t="s">
        <v>2385</v>
      </c>
      <c r="N687" s="1">
        <v>0.6</v>
      </c>
      <c r="O687" s="1">
        <v>500</v>
      </c>
      <c r="P687" s="1">
        <v>31.7</v>
      </c>
      <c r="Q687" s="1" t="s">
        <v>308</v>
      </c>
      <c r="R687" s="1" t="s">
        <v>2386</v>
      </c>
      <c r="S687" s="1" t="s">
        <v>2386</v>
      </c>
      <c r="T687" s="1"/>
      <c r="U687" s="1" t="s">
        <v>110</v>
      </c>
      <c r="V687" s="1" t="s">
        <v>380</v>
      </c>
      <c r="W687" s="1" t="s">
        <v>381</v>
      </c>
      <c r="X687" s="1" t="s">
        <v>382</v>
      </c>
      <c r="Y687" s="1" t="s">
        <v>382</v>
      </c>
      <c r="Z687" s="1" t="s">
        <v>43</v>
      </c>
      <c r="AA687" s="1"/>
      <c r="AB687" s="1" t="s">
        <v>44</v>
      </c>
      <c r="AC687" s="1" t="s">
        <v>115</v>
      </c>
      <c r="AD687" s="1" t="s">
        <v>43</v>
      </c>
      <c r="AE687" s="1" t="s">
        <v>43</v>
      </c>
      <c r="AF687" s="1">
        <v>141</v>
      </c>
      <c r="AG687" s="1" t="s">
        <v>43</v>
      </c>
      <c r="AH687" s="2">
        <v>45908</v>
      </c>
    </row>
    <row r="688" spans="1:34" x14ac:dyDescent="0.3">
      <c r="A688" s="1">
        <v>1905702</v>
      </c>
      <c r="B688" s="1">
        <v>2.17</v>
      </c>
      <c r="C688" s="1">
        <v>45</v>
      </c>
      <c r="D688" s="1">
        <v>46</v>
      </c>
      <c r="E688" s="1" t="s">
        <v>551</v>
      </c>
      <c r="F688" s="1">
        <v>0</v>
      </c>
      <c r="G688" s="1" t="s">
        <v>2387</v>
      </c>
      <c r="H688" s="1" t="s">
        <v>2373</v>
      </c>
      <c r="I688" s="1" t="str">
        <f>HYPERLINK("https://www.systembolaget.se/produkt/alkoholfritt/saturnus-glogg-havtorn-1905702/","https://www.systembolaget.se/produkt/alkoholfritt/saturnus-glogg-havtorn-1905702/")</f>
        <v>https://www.systembolaget.se/produkt/alkoholfritt/saturnus-glogg-havtorn-1905702/</v>
      </c>
      <c r="J688" s="1">
        <v>8.16</v>
      </c>
      <c r="K688" s="1">
        <v>2.17</v>
      </c>
      <c r="L688" s="2">
        <v>45943</v>
      </c>
      <c r="M688" s="1" t="s">
        <v>2388</v>
      </c>
      <c r="N688" s="1">
        <v>0.06</v>
      </c>
      <c r="O688" s="1">
        <v>500</v>
      </c>
      <c r="P688" s="1">
        <v>0.5</v>
      </c>
      <c r="Q688" s="1" t="s">
        <v>1579</v>
      </c>
      <c r="R688" s="1" t="s">
        <v>2389</v>
      </c>
      <c r="S688" s="1" t="s">
        <v>2390</v>
      </c>
      <c r="T688" s="1"/>
      <c r="U688" s="1" t="s">
        <v>110</v>
      </c>
      <c r="V688" s="1"/>
      <c r="W688" s="1"/>
      <c r="X688" s="1" t="s">
        <v>2391</v>
      </c>
      <c r="Y688" s="1" t="s">
        <v>2391</v>
      </c>
      <c r="Z688" s="1" t="s">
        <v>43</v>
      </c>
      <c r="AA688" s="1"/>
      <c r="AB688" s="1" t="s">
        <v>77</v>
      </c>
      <c r="AC688" s="1" t="s">
        <v>2392</v>
      </c>
      <c r="AD688" s="1" t="s">
        <v>43</v>
      </c>
      <c r="AE688" s="1" t="s">
        <v>43</v>
      </c>
      <c r="AF688" s="1">
        <v>179</v>
      </c>
      <c r="AG688" s="1" t="s">
        <v>43</v>
      </c>
      <c r="AH688" s="2">
        <v>45964</v>
      </c>
    </row>
    <row r="689" spans="1:34" x14ac:dyDescent="0.3">
      <c r="A689" s="1">
        <v>7602601</v>
      </c>
      <c r="B689" s="1">
        <v>2.14</v>
      </c>
      <c r="C689" s="1">
        <v>275</v>
      </c>
      <c r="D689" s="1">
        <v>281</v>
      </c>
      <c r="E689" s="1" t="s">
        <v>43</v>
      </c>
      <c r="F689" s="1">
        <v>0</v>
      </c>
      <c r="G689" s="1" t="s">
        <v>2393</v>
      </c>
      <c r="H689" s="1" t="s">
        <v>405</v>
      </c>
      <c r="I689" s="1" t="str">
        <f>HYPERLINK("https://www.systembolaget.se/produkt/vin/la-bri-7602601/","https://www.systembolaget.se/produkt/vin/la-bri-7602601/")</f>
        <v>https://www.systembolaget.se/produkt/vin/la-bri-7602601/</v>
      </c>
      <c r="J689" s="1"/>
      <c r="K689" s="1">
        <v>2.14</v>
      </c>
      <c r="L689" s="2">
        <v>46149</v>
      </c>
      <c r="M689" s="1" t="s">
        <v>2394</v>
      </c>
      <c r="N689" s="1">
        <v>0.35</v>
      </c>
      <c r="O689" s="1">
        <v>750</v>
      </c>
      <c r="P689" s="1">
        <v>13</v>
      </c>
      <c r="Q689" s="1" t="s">
        <v>38</v>
      </c>
      <c r="R689" s="1" t="s">
        <v>52</v>
      </c>
      <c r="S689" s="1"/>
      <c r="T689" s="1"/>
      <c r="U689" s="1" t="s">
        <v>289</v>
      </c>
      <c r="V689" s="1" t="s">
        <v>290</v>
      </c>
      <c r="W689" s="1" t="s">
        <v>291</v>
      </c>
      <c r="X689" s="1" t="s">
        <v>2395</v>
      </c>
      <c r="Y689" s="1" t="s">
        <v>1956</v>
      </c>
      <c r="Z689" s="1" t="s">
        <v>43</v>
      </c>
      <c r="AA689" s="1">
        <v>2023</v>
      </c>
      <c r="AB689" s="1" t="s">
        <v>44</v>
      </c>
      <c r="AC689" s="1" t="s">
        <v>45</v>
      </c>
      <c r="AD689" s="1" t="s">
        <v>43</v>
      </c>
      <c r="AE689" s="1" t="s">
        <v>43</v>
      </c>
      <c r="AF689" s="1"/>
      <c r="AG689" s="1" t="s">
        <v>43</v>
      </c>
      <c r="AH689" s="2">
        <v>46155</v>
      </c>
    </row>
    <row r="690" spans="1:34" x14ac:dyDescent="0.3">
      <c r="A690" s="1">
        <v>7676301</v>
      </c>
      <c r="B690" s="1">
        <v>2.12</v>
      </c>
      <c r="C690" s="1">
        <v>599</v>
      </c>
      <c r="D690" s="1">
        <v>612</v>
      </c>
      <c r="E690" s="1" t="s">
        <v>43</v>
      </c>
      <c r="F690" s="1">
        <v>0</v>
      </c>
      <c r="G690" s="1" t="s">
        <v>2396</v>
      </c>
      <c r="H690" s="1" t="s">
        <v>2397</v>
      </c>
      <c r="I690" s="1" t="str">
        <f>HYPERLINK("https://www.systembolaget.se/produkt/vin/chateau-coutet-7676301/","https://www.systembolaget.se/produkt/vin/chateau-coutet-7676301/")</f>
        <v>https://www.systembolaget.se/produkt/vin/chateau-coutet-7676301/</v>
      </c>
      <c r="J690" s="1"/>
      <c r="K690" s="1">
        <v>2.12</v>
      </c>
      <c r="L690" s="2">
        <v>46001</v>
      </c>
      <c r="M690" s="1" t="s">
        <v>2398</v>
      </c>
      <c r="N690" s="1">
        <v>0.16</v>
      </c>
      <c r="O690" s="1">
        <v>750</v>
      </c>
      <c r="P690" s="1">
        <v>13</v>
      </c>
      <c r="Q690" s="1" t="s">
        <v>38</v>
      </c>
      <c r="R690" s="1" t="s">
        <v>52</v>
      </c>
      <c r="S690" s="1"/>
      <c r="T690" s="1"/>
      <c r="U690" s="1" t="s">
        <v>101</v>
      </c>
      <c r="V690" s="1" t="s">
        <v>371</v>
      </c>
      <c r="W690" s="1" t="s">
        <v>819</v>
      </c>
      <c r="X690" s="1" t="s">
        <v>2399</v>
      </c>
      <c r="Y690" s="1" t="s">
        <v>905</v>
      </c>
      <c r="Z690" s="1" t="s">
        <v>46</v>
      </c>
      <c r="AA690" s="1">
        <v>2021</v>
      </c>
      <c r="AB690" s="1" t="s">
        <v>44</v>
      </c>
      <c r="AC690" s="1" t="s">
        <v>45</v>
      </c>
      <c r="AD690" s="1" t="s">
        <v>43</v>
      </c>
      <c r="AE690" s="1" t="s">
        <v>43</v>
      </c>
      <c r="AF690" s="1"/>
      <c r="AG690" s="1" t="s">
        <v>43</v>
      </c>
      <c r="AH690" s="2">
        <v>46006</v>
      </c>
    </row>
    <row r="691" spans="1:34" x14ac:dyDescent="0.3">
      <c r="A691" s="1">
        <v>8561101</v>
      </c>
      <c r="B691" s="1">
        <v>2.11</v>
      </c>
      <c r="C691" s="1">
        <v>975</v>
      </c>
      <c r="D691" s="1">
        <v>996</v>
      </c>
      <c r="E691" s="1" t="s">
        <v>43</v>
      </c>
      <c r="F691" s="1">
        <v>0</v>
      </c>
      <c r="G691" s="1" t="s">
        <v>2400</v>
      </c>
      <c r="H691" s="1" t="s">
        <v>2401</v>
      </c>
      <c r="I691" s="1" t="str">
        <f>HYPERLINK("https://www.systembolaget.se/produkt/sprit/bonollo-8561101/","https://www.systembolaget.se/produkt/sprit/bonollo-8561101/")</f>
        <v>https://www.systembolaget.se/produkt/sprit/bonollo-8561101/</v>
      </c>
      <c r="J691" s="1">
        <v>11.36</v>
      </c>
      <c r="K691" s="1">
        <v>2.11</v>
      </c>
      <c r="L691" s="2">
        <v>45486</v>
      </c>
      <c r="M691" s="1" t="s">
        <v>2402</v>
      </c>
      <c r="N691" s="1">
        <v>0.3</v>
      </c>
      <c r="O691" s="1">
        <v>700</v>
      </c>
      <c r="P691" s="1">
        <v>42</v>
      </c>
      <c r="Q691" s="1" t="s">
        <v>308</v>
      </c>
      <c r="R691" s="1" t="s">
        <v>610</v>
      </c>
      <c r="S691" s="1" t="s">
        <v>611</v>
      </c>
      <c r="T691" s="1"/>
      <c r="U691" s="1" t="s">
        <v>53</v>
      </c>
      <c r="V691" s="1"/>
      <c r="W691" s="1"/>
      <c r="X691" s="1" t="s">
        <v>2403</v>
      </c>
      <c r="Y691" s="1" t="s">
        <v>939</v>
      </c>
      <c r="Z691" s="1" t="s">
        <v>43</v>
      </c>
      <c r="AA691" s="1"/>
      <c r="AB691" s="1" t="s">
        <v>44</v>
      </c>
      <c r="AC691" s="1" t="s">
        <v>45</v>
      </c>
      <c r="AD691" s="1" t="s">
        <v>43</v>
      </c>
      <c r="AE691" s="1" t="s">
        <v>43</v>
      </c>
      <c r="AF691" s="1"/>
      <c r="AG691" s="1" t="s">
        <v>43</v>
      </c>
      <c r="AH691" s="2">
        <v>45250</v>
      </c>
    </row>
    <row r="692" spans="1:34" x14ac:dyDescent="0.3">
      <c r="A692" s="1">
        <v>3384302</v>
      </c>
      <c r="B692" s="1">
        <v>2.1</v>
      </c>
      <c r="C692" s="1">
        <v>280</v>
      </c>
      <c r="D692" s="1">
        <v>286</v>
      </c>
      <c r="E692" s="1" t="s">
        <v>43</v>
      </c>
      <c r="F692" s="1">
        <v>0</v>
      </c>
      <c r="G692" s="1" t="s">
        <v>2058</v>
      </c>
      <c r="H692" s="1" t="s">
        <v>2404</v>
      </c>
      <c r="I692" s="1" t="str">
        <f>HYPERLINK("https://www.systembolaget.se/produkt/sprit/torsbo-5-2-3384302/","https://www.systembolaget.se/produkt/sprit/torsbo-5-2-3384302/")</f>
        <v>https://www.systembolaget.se/produkt/sprit/torsbo-5-2-3384302/</v>
      </c>
      <c r="J692" s="1"/>
      <c r="K692" s="1">
        <v>2.1</v>
      </c>
      <c r="L692" s="2">
        <v>46125</v>
      </c>
      <c r="M692" s="1" t="s">
        <v>2405</v>
      </c>
      <c r="N692" s="1">
        <v>0.61</v>
      </c>
      <c r="O692" s="1">
        <v>500</v>
      </c>
      <c r="P692" s="1">
        <v>34</v>
      </c>
      <c r="Q692" s="1" t="s">
        <v>308</v>
      </c>
      <c r="R692" s="1" t="s">
        <v>378</v>
      </c>
      <c r="S692" s="1" t="s">
        <v>379</v>
      </c>
      <c r="T692" s="1"/>
      <c r="U692" s="1" t="s">
        <v>110</v>
      </c>
      <c r="V692" s="1" t="s">
        <v>136</v>
      </c>
      <c r="W692" s="1" t="s">
        <v>2057</v>
      </c>
      <c r="X692" s="1" t="s">
        <v>2058</v>
      </c>
      <c r="Y692" s="1" t="s">
        <v>2059</v>
      </c>
      <c r="Z692" s="1" t="s">
        <v>43</v>
      </c>
      <c r="AA692" s="1"/>
      <c r="AB692" s="1" t="s">
        <v>44</v>
      </c>
      <c r="AC692" s="1" t="s">
        <v>115</v>
      </c>
      <c r="AD692" s="1" t="s">
        <v>43</v>
      </c>
      <c r="AE692" s="1" t="s">
        <v>43</v>
      </c>
      <c r="AF692" s="1">
        <v>81</v>
      </c>
      <c r="AG692" s="1" t="s">
        <v>43</v>
      </c>
      <c r="AH692" s="2">
        <v>46146</v>
      </c>
    </row>
    <row r="693" spans="1:34" x14ac:dyDescent="0.3">
      <c r="A693" s="1">
        <v>3448803</v>
      </c>
      <c r="B693" s="1">
        <v>2.0499999999999998</v>
      </c>
      <c r="C693" s="1">
        <v>28.7</v>
      </c>
      <c r="D693" s="1">
        <v>29.3</v>
      </c>
      <c r="E693" s="1" t="s">
        <v>43</v>
      </c>
      <c r="F693" s="1">
        <v>0</v>
      </c>
      <c r="G693" s="1" t="s">
        <v>2058</v>
      </c>
      <c r="H693" s="1" t="s">
        <v>2406</v>
      </c>
      <c r="I693" s="1" t="str">
        <f>HYPERLINK("https://www.systembolaget.se/produkt/cider-blanddrycker/torsbo-5-2-3448803/","https://www.systembolaget.se/produkt/cider-blanddrycker/torsbo-5-2-3448803/")</f>
        <v>https://www.systembolaget.se/produkt/cider-blanddrycker/torsbo-5-2-3448803/</v>
      </c>
      <c r="J693" s="1"/>
      <c r="K693" s="1">
        <v>2.0499999999999998</v>
      </c>
      <c r="L693" s="2">
        <v>46104</v>
      </c>
      <c r="M693" s="1" t="s">
        <v>2407</v>
      </c>
      <c r="N693" s="1">
        <v>0.52</v>
      </c>
      <c r="O693" s="1">
        <v>330</v>
      </c>
      <c r="P693" s="1">
        <v>4.5</v>
      </c>
      <c r="Q693" s="1" t="s">
        <v>157</v>
      </c>
      <c r="R693" s="1" t="s">
        <v>663</v>
      </c>
      <c r="S693" s="1" t="s">
        <v>159</v>
      </c>
      <c r="T693" s="1"/>
      <c r="U693" s="1" t="s">
        <v>110</v>
      </c>
      <c r="V693" s="1" t="s">
        <v>136</v>
      </c>
      <c r="W693" s="1" t="s">
        <v>2057</v>
      </c>
      <c r="X693" s="1" t="s">
        <v>2058</v>
      </c>
      <c r="Y693" s="1" t="s">
        <v>2059</v>
      </c>
      <c r="Z693" s="1" t="s">
        <v>43</v>
      </c>
      <c r="AA693" s="1"/>
      <c r="AB693" s="1" t="s">
        <v>44</v>
      </c>
      <c r="AC693" s="1" t="s">
        <v>115</v>
      </c>
      <c r="AD693" s="1" t="s">
        <v>43</v>
      </c>
      <c r="AE693" s="1" t="s">
        <v>43</v>
      </c>
      <c r="AF693" s="1">
        <v>113</v>
      </c>
      <c r="AG693" s="1" t="s">
        <v>43</v>
      </c>
      <c r="AH693" s="2">
        <v>46125</v>
      </c>
    </row>
    <row r="694" spans="1:34" x14ac:dyDescent="0.3">
      <c r="A694" s="1">
        <v>7462701</v>
      </c>
      <c r="B694" s="1">
        <v>2.04</v>
      </c>
      <c r="C694" s="1">
        <v>479</v>
      </c>
      <c r="D694" s="1">
        <v>489</v>
      </c>
      <c r="E694" s="1" t="s">
        <v>459</v>
      </c>
      <c r="F694" s="1">
        <v>0</v>
      </c>
      <c r="G694" s="1" t="s">
        <v>1202</v>
      </c>
      <c r="H694" s="1" t="s">
        <v>2408</v>
      </c>
      <c r="I694" s="1" t="str">
        <f>HYPERLINK("https://www.systembolaget.se/produkt/vin/barolo-monvigliero-7462701/","https://www.systembolaget.se/produkt/vin/barolo-monvigliero-7462701/")</f>
        <v>https://www.systembolaget.se/produkt/vin/barolo-monvigliero-7462701/</v>
      </c>
      <c r="J694" s="1">
        <v>7.71</v>
      </c>
      <c r="K694" s="1">
        <v>2.04</v>
      </c>
      <c r="L694" s="2">
        <v>45389</v>
      </c>
      <c r="M694" s="1" t="s">
        <v>2409</v>
      </c>
      <c r="N694" s="1">
        <v>0.23</v>
      </c>
      <c r="O694" s="1">
        <v>750</v>
      </c>
      <c r="P694" s="1">
        <v>15</v>
      </c>
      <c r="Q694" s="1" t="s">
        <v>38</v>
      </c>
      <c r="R694" s="1" t="s">
        <v>52</v>
      </c>
      <c r="S694" s="1"/>
      <c r="T694" s="1"/>
      <c r="U694" s="1" t="s">
        <v>53</v>
      </c>
      <c r="V694" s="1" t="s">
        <v>95</v>
      </c>
      <c r="W694" s="1" t="s">
        <v>969</v>
      </c>
      <c r="X694" s="1" t="s">
        <v>2408</v>
      </c>
      <c r="Y694" s="1" t="s">
        <v>64</v>
      </c>
      <c r="Z694" s="1" t="s">
        <v>43</v>
      </c>
      <c r="AA694" s="1">
        <v>2017</v>
      </c>
      <c r="AB694" s="1" t="s">
        <v>44</v>
      </c>
      <c r="AC694" s="1" t="s">
        <v>45</v>
      </c>
      <c r="AD694" s="1" t="s">
        <v>43</v>
      </c>
      <c r="AE694" s="1" t="s">
        <v>43</v>
      </c>
      <c r="AF694" s="1"/>
      <c r="AG694" s="1" t="s">
        <v>43</v>
      </c>
      <c r="AH694" s="2">
        <v>44179</v>
      </c>
    </row>
    <row r="695" spans="1:34" x14ac:dyDescent="0.3">
      <c r="A695" s="1">
        <v>5954501</v>
      </c>
      <c r="B695" s="1">
        <v>2.0099999999999998</v>
      </c>
      <c r="C695" s="1">
        <v>195</v>
      </c>
      <c r="D695" s="1">
        <v>199</v>
      </c>
      <c r="E695" s="1" t="s">
        <v>43</v>
      </c>
      <c r="F695" s="1">
        <v>0</v>
      </c>
      <c r="G695" s="1" t="s">
        <v>2410</v>
      </c>
      <c r="H695" s="1" t="s">
        <v>2411</v>
      </c>
      <c r="I695" s="1" t="str">
        <f>HYPERLINK("https://www.systembolaget.se/produkt/vin/magna-terra-5954501/","https://www.systembolaget.se/produkt/vin/magna-terra-5954501/")</f>
        <v>https://www.systembolaget.se/produkt/vin/magna-terra-5954501/</v>
      </c>
      <c r="J695" s="1">
        <v>2.5</v>
      </c>
      <c r="K695" s="1">
        <v>2.0099999999999998</v>
      </c>
      <c r="L695" s="2">
        <v>45444</v>
      </c>
      <c r="M695" s="1" t="s">
        <v>2412</v>
      </c>
      <c r="N695" s="1">
        <v>0.5</v>
      </c>
      <c r="O695" s="1">
        <v>750</v>
      </c>
      <c r="P695" s="1">
        <v>13</v>
      </c>
      <c r="Q695" s="1" t="s">
        <v>38</v>
      </c>
      <c r="R695" s="1" t="s">
        <v>52</v>
      </c>
      <c r="S695" s="1"/>
      <c r="T695" s="1"/>
      <c r="U695" s="1" t="s">
        <v>53</v>
      </c>
      <c r="V695" s="1" t="s">
        <v>63</v>
      </c>
      <c r="W695" s="1" t="s">
        <v>2411</v>
      </c>
      <c r="X695" s="1" t="s">
        <v>938</v>
      </c>
      <c r="Y695" s="1" t="s">
        <v>939</v>
      </c>
      <c r="Z695" s="1" t="s">
        <v>43</v>
      </c>
      <c r="AA695" s="1">
        <v>2021</v>
      </c>
      <c r="AB695" s="1" t="s">
        <v>44</v>
      </c>
      <c r="AC695" s="1" t="s">
        <v>45</v>
      </c>
      <c r="AD695" s="1" t="s">
        <v>43</v>
      </c>
      <c r="AE695" s="1" t="s">
        <v>43</v>
      </c>
      <c r="AF695" s="1"/>
      <c r="AG695" s="1" t="s">
        <v>43</v>
      </c>
      <c r="AH695" s="2">
        <v>44914</v>
      </c>
    </row>
  </sheetData>
  <autoFilter ref="A1:AH695" xr:uid="{00000000-0001-0000-0000-000000000000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2026-09-01T03:30:06Z</dcterms:created>
  <dcterms:modified xsi:type="dcterms:W3CDTF">2026-09-01T03:32:48Z</dcterms:modified>
</cp:coreProperties>
</file>